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ima\Desktop\"/>
    </mc:Choice>
  </mc:AlternateContent>
  <xr:revisionPtr revIDLastSave="0" documentId="13_ncr:1_{2D66DD51-3A83-4018-A7A2-BCD29CD666AB}" xr6:coauthVersionLast="45" xr6:coauthVersionMax="45" xr10:uidLastSave="{00000000-0000-0000-0000-000000000000}"/>
  <bookViews>
    <workbookView xWindow="-108" yWindow="-108" windowWidth="23256" windowHeight="12576" tabRatio="671" xr2:uid="{A06D7C5E-8815-4BE7-BA97-83E363372C9C}"/>
  </bookViews>
  <sheets>
    <sheet name="Участки" sheetId="6" r:id="rId1"/>
    <sheet name="Покупатели" sheetId="3" r:id="rId2"/>
    <sheet name="Доверенные" sheetId="13" r:id="rId3"/>
    <sheet name="База для Договора" sheetId="8" r:id="rId4"/>
    <sheet name="Цена" sheetId="2" r:id="rId5"/>
    <sheet name="Лист1" sheetId="9" r:id="rId6"/>
  </sheets>
  <functionGroups builtInGroupCount="19"/>
  <definedNames>
    <definedName name="_xlnm._FilterDatabase" localSheetId="0" hidden="1">Участки!$A$1:$I$228</definedName>
    <definedName name="_xlnm.Print_Titles" localSheetId="0">Участки!$1:$1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" i="6" l="1"/>
  <c r="F16" i="8" l="1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Z2" i="8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AB14" i="8"/>
  <c r="AB11" i="8"/>
  <c r="AC16" i="8"/>
  <c r="AC13" i="8"/>
  <c r="AB4" i="8"/>
  <c r="AB9" i="8"/>
  <c r="AB10" i="8"/>
  <c r="AB7" i="8"/>
  <c r="AB8" i="8"/>
  <c r="AB16" i="8"/>
  <c r="AC14" i="8"/>
  <c r="AB2" i="8"/>
  <c r="AC15" i="8"/>
  <c r="AB5" i="8"/>
  <c r="AB6" i="8"/>
  <c r="AB15" i="8"/>
  <c r="AB12" i="8"/>
  <c r="AB3" i="8"/>
  <c r="AB13" i="8"/>
  <c r="AC12" i="8"/>
  <c r="AA16" i="8" l="1"/>
  <c r="AA15" i="8"/>
  <c r="AA14" i="8"/>
  <c r="AA13" i="8"/>
  <c r="A11" i="3"/>
  <c r="A2" i="13"/>
  <c r="A10" i="3"/>
  <c r="AF13" i="8" l="1"/>
  <c r="AF16" i="8"/>
  <c r="AF15" i="8"/>
  <c r="AF14" i="8"/>
  <c r="AD14" i="8"/>
  <c r="AD16" i="8"/>
  <c r="AD13" i="8"/>
  <c r="AD15" i="8"/>
  <c r="AA12" i="8" l="1"/>
  <c r="A9" i="3" l="1"/>
  <c r="A4" i="9" l="1"/>
  <c r="AA11" i="8" l="1"/>
  <c r="AA10" i="8"/>
  <c r="A8" i="3"/>
  <c r="A3" i="3" l="1"/>
  <c r="A7" i="3" l="1"/>
  <c r="A6" i="3"/>
  <c r="A5" i="3"/>
  <c r="A4" i="3"/>
  <c r="N4" i="8" l="1"/>
  <c r="N5" i="8"/>
  <c r="N13" i="8"/>
  <c r="N6" i="8"/>
  <c r="N14" i="8"/>
  <c r="N7" i="8"/>
  <c r="N15" i="8"/>
  <c r="N16" i="8"/>
  <c r="N10" i="8"/>
  <c r="N8" i="8"/>
  <c r="N9" i="8"/>
  <c r="N11" i="8"/>
  <c r="N12" i="8"/>
  <c r="P16" i="8"/>
  <c r="R14" i="8"/>
  <c r="J13" i="8"/>
  <c r="P15" i="8"/>
  <c r="T14" i="8"/>
  <c r="T15" i="8"/>
  <c r="U16" i="8"/>
  <c r="T13" i="8"/>
  <c r="Q16" i="8"/>
  <c r="S14" i="8"/>
  <c r="S15" i="8"/>
  <c r="U13" i="8"/>
  <c r="R16" i="8"/>
  <c r="R15" i="8"/>
  <c r="S16" i="8"/>
  <c r="U14" i="8"/>
  <c r="U15" i="8"/>
  <c r="T16" i="8"/>
  <c r="S13" i="8"/>
  <c r="J16" i="8"/>
  <c r="I16" i="8"/>
  <c r="I15" i="8"/>
  <c r="W16" i="8"/>
  <c r="I14" i="8"/>
  <c r="Q13" i="8"/>
  <c r="V15" i="8"/>
  <c r="R13" i="8"/>
  <c r="J15" i="8"/>
  <c r="Q14" i="8"/>
  <c r="W14" i="8"/>
  <c r="V14" i="8"/>
  <c r="O16" i="8"/>
  <c r="I13" i="8"/>
  <c r="J14" i="8"/>
  <c r="Q15" i="8"/>
  <c r="V16" i="8"/>
  <c r="P13" i="8"/>
  <c r="O13" i="8"/>
  <c r="O15" i="8"/>
  <c r="P14" i="8"/>
  <c r="W13" i="8"/>
  <c r="V13" i="8"/>
  <c r="W15" i="8"/>
  <c r="O14" i="8"/>
  <c r="U12" i="8"/>
  <c r="T12" i="8"/>
  <c r="J12" i="8"/>
  <c r="V12" i="8"/>
  <c r="R12" i="8"/>
  <c r="Q12" i="8"/>
  <c r="S12" i="8"/>
  <c r="I12" i="8"/>
  <c r="O12" i="8"/>
  <c r="P12" i="8"/>
  <c r="W12" i="8"/>
  <c r="O11" i="8"/>
  <c r="Q10" i="8"/>
  <c r="R10" i="8"/>
  <c r="R11" i="8"/>
  <c r="U11" i="8"/>
  <c r="V10" i="8"/>
  <c r="T10" i="8"/>
  <c r="U10" i="8"/>
  <c r="V11" i="8"/>
  <c r="J10" i="8"/>
  <c r="T11" i="8"/>
  <c r="P10" i="8"/>
  <c r="S11" i="8"/>
  <c r="I10" i="8"/>
  <c r="W11" i="8"/>
  <c r="J11" i="8"/>
  <c r="W10" i="8"/>
  <c r="Q11" i="8"/>
  <c r="O10" i="8"/>
  <c r="I11" i="8"/>
  <c r="S10" i="8"/>
  <c r="P11" i="8"/>
  <c r="O5" i="8"/>
  <c r="O9" i="8"/>
  <c r="S9" i="8"/>
  <c r="W5" i="8"/>
  <c r="T9" i="8"/>
  <c r="I9" i="8"/>
  <c r="I5" i="8"/>
  <c r="U9" i="8"/>
  <c r="P5" i="8"/>
  <c r="V9" i="8"/>
  <c r="Q5" i="8"/>
  <c r="J5" i="8"/>
  <c r="W9" i="8"/>
  <c r="R5" i="8"/>
  <c r="P9" i="8"/>
  <c r="J9" i="8"/>
  <c r="T5" i="8"/>
  <c r="Q9" i="8"/>
  <c r="V5" i="8"/>
  <c r="U5" i="8"/>
  <c r="R9" i="8"/>
  <c r="S5" i="8"/>
  <c r="O8" i="8"/>
  <c r="J8" i="8"/>
  <c r="I8" i="8"/>
  <c r="W8" i="8"/>
  <c r="V8" i="8"/>
  <c r="U8" i="8"/>
  <c r="T8" i="8"/>
  <c r="S8" i="8"/>
  <c r="R8" i="8"/>
  <c r="Q8" i="8"/>
  <c r="P8" i="8"/>
  <c r="AA9" i="8"/>
  <c r="AA8" i="8"/>
  <c r="AA7" i="8"/>
  <c r="AA6" i="8"/>
  <c r="AA5" i="8"/>
  <c r="AA4" i="8"/>
  <c r="AA3" i="8"/>
  <c r="AE15" i="8" l="1"/>
  <c r="AE13" i="8"/>
  <c r="AE16" i="8"/>
  <c r="AE14" i="8"/>
  <c r="AE12" i="8"/>
  <c r="AE8" i="8"/>
  <c r="AE10" i="8"/>
  <c r="AE11" i="8"/>
  <c r="AE9" i="8"/>
  <c r="AE5" i="8"/>
  <c r="A2" i="3" l="1"/>
  <c r="N2" i="8" l="1"/>
  <c r="N3" i="8"/>
  <c r="Q4" i="8"/>
  <c r="O4" i="8"/>
  <c r="R6" i="8"/>
  <c r="T4" i="8"/>
  <c r="S4" i="8"/>
  <c r="S6" i="8"/>
  <c r="T6" i="8"/>
  <c r="W6" i="8"/>
  <c r="R7" i="8"/>
  <c r="V7" i="8"/>
  <c r="Q6" i="8"/>
  <c r="T7" i="8"/>
  <c r="I4" i="8"/>
  <c r="U4" i="8"/>
  <c r="O6" i="8"/>
  <c r="I6" i="8"/>
  <c r="U6" i="8"/>
  <c r="V4" i="8"/>
  <c r="J4" i="8"/>
  <c r="V6" i="8"/>
  <c r="W7" i="8"/>
  <c r="P7" i="8"/>
  <c r="S7" i="8"/>
  <c r="P4" i="8"/>
  <c r="O7" i="8"/>
  <c r="U7" i="8"/>
  <c r="R4" i="8"/>
  <c r="J7" i="8"/>
  <c r="W4" i="8"/>
  <c r="J6" i="8"/>
  <c r="Q7" i="8"/>
  <c r="I7" i="8"/>
  <c r="P6" i="8"/>
  <c r="O3" i="8"/>
  <c r="AE3" i="8" s="1"/>
  <c r="I3" i="8"/>
  <c r="U3" i="8"/>
  <c r="Q3" i="8"/>
  <c r="T3" i="8"/>
  <c r="P3" i="8"/>
  <c r="J3" i="8"/>
  <c r="W2" i="8"/>
  <c r="S2" i="8"/>
  <c r="V2" i="8"/>
  <c r="I2" i="8"/>
  <c r="R2" i="8"/>
  <c r="R3" i="8"/>
  <c r="W3" i="8"/>
  <c r="U2" i="8"/>
  <c r="O2" i="8"/>
  <c r="AE2" i="8" s="1"/>
  <c r="T2" i="8"/>
  <c r="V3" i="8"/>
  <c r="J2" i="8"/>
  <c r="S3" i="8"/>
  <c r="Q2" i="8"/>
  <c r="P2" i="8"/>
  <c r="I2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2" i="6"/>
  <c r="G211" i="6"/>
  <c r="G210" i="6"/>
  <c r="G209" i="6"/>
  <c r="G208" i="6"/>
  <c r="G207" i="6"/>
  <c r="G206" i="6"/>
  <c r="G205" i="6"/>
  <c r="G203" i="6"/>
  <c r="G202" i="6"/>
  <c r="G201" i="6"/>
  <c r="G200" i="6"/>
  <c r="G199" i="6"/>
  <c r="G198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D213" i="6"/>
  <c r="G213" i="6" s="1"/>
  <c r="D204" i="6"/>
  <c r="G204" i="6" s="1"/>
  <c r="D197" i="6"/>
  <c r="G197" i="6" s="1"/>
  <c r="D175" i="6"/>
  <c r="G175" i="6" s="1"/>
  <c r="A3" i="6"/>
  <c r="H3" i="6" s="1"/>
  <c r="AE7" i="8" l="1"/>
  <c r="AE6" i="8"/>
  <c r="AE4" i="8"/>
  <c r="A4" i="6"/>
  <c r="H4" i="6" s="1"/>
  <c r="A5" i="6" l="1"/>
  <c r="H5" i="6" s="1"/>
  <c r="I4" i="6"/>
  <c r="I3" i="6"/>
  <c r="A6" i="6" l="1"/>
  <c r="H6" i="6" s="1"/>
  <c r="I5" i="6" l="1"/>
  <c r="A7" i="6"/>
  <c r="H7" i="6" s="1"/>
  <c r="I6" i="6" l="1"/>
  <c r="A8" i="6"/>
  <c r="H8" i="6" s="1"/>
  <c r="I7" i="6" l="1"/>
  <c r="A9" i="6"/>
  <c r="H9" i="6" s="1"/>
  <c r="I8" i="6" l="1"/>
  <c r="A10" i="6"/>
  <c r="H10" i="6" s="1"/>
  <c r="I9" i="6" l="1"/>
  <c r="A11" i="6"/>
  <c r="H11" i="6" s="1"/>
  <c r="I10" i="6" l="1"/>
  <c r="A12" i="6"/>
  <c r="H12" i="6" s="1"/>
  <c r="I11" i="6" l="1"/>
  <c r="A13" i="6"/>
  <c r="H13" i="6" s="1"/>
  <c r="I12" i="6" l="1"/>
  <c r="A14" i="6"/>
  <c r="H14" i="6" s="1"/>
  <c r="I13" i="6" l="1"/>
  <c r="A15" i="6"/>
  <c r="H15" i="6" s="1"/>
  <c r="I14" i="6" l="1"/>
  <c r="A16" i="6"/>
  <c r="H16" i="6" s="1"/>
  <c r="I15" i="6" l="1"/>
  <c r="A17" i="6"/>
  <c r="H17" i="6" s="1"/>
  <c r="I16" i="6" l="1"/>
  <c r="A18" i="6"/>
  <c r="H18" i="6" s="1"/>
  <c r="I17" i="6" l="1"/>
  <c r="A19" i="6"/>
  <c r="H19" i="6" s="1"/>
  <c r="I18" i="6" l="1"/>
  <c r="A20" i="6"/>
  <c r="H20" i="6" s="1"/>
  <c r="I19" i="6" l="1"/>
  <c r="A21" i="6"/>
  <c r="H21" i="6" s="1"/>
  <c r="I20" i="6" l="1"/>
  <c r="A22" i="6"/>
  <c r="H22" i="6" s="1"/>
  <c r="I21" i="6" l="1"/>
  <c r="A23" i="6"/>
  <c r="H23" i="6" s="1"/>
  <c r="I22" i="6" l="1"/>
  <c r="A24" i="6"/>
  <c r="H24" i="6" s="1"/>
  <c r="A25" i="6" l="1"/>
  <c r="H25" i="6" s="1"/>
  <c r="I23" i="6"/>
  <c r="I24" i="6" l="1"/>
  <c r="A26" i="6"/>
  <c r="H26" i="6" s="1"/>
  <c r="I25" i="6" l="1"/>
  <c r="A27" i="6"/>
  <c r="H27" i="6" s="1"/>
  <c r="I26" i="6" l="1"/>
  <c r="A28" i="6"/>
  <c r="H28" i="6" s="1"/>
  <c r="I27" i="6" l="1"/>
  <c r="A29" i="6"/>
  <c r="H29" i="6" s="1"/>
  <c r="I28" i="6" l="1"/>
  <c r="A30" i="6"/>
  <c r="H30" i="6" s="1"/>
  <c r="I29" i="6" l="1"/>
  <c r="A31" i="6"/>
  <c r="H31" i="6" s="1"/>
  <c r="I30" i="6" l="1"/>
  <c r="A32" i="6"/>
  <c r="H32" i="6" s="1"/>
  <c r="I31" i="6" l="1"/>
  <c r="A33" i="6"/>
  <c r="H33" i="6" s="1"/>
  <c r="I32" i="6" l="1"/>
  <c r="A34" i="6"/>
  <c r="H34" i="6" s="1"/>
  <c r="I33" i="6" l="1"/>
  <c r="A35" i="6"/>
  <c r="H35" i="6" s="1"/>
  <c r="I34" i="6" l="1"/>
  <c r="A36" i="6"/>
  <c r="H36" i="6" s="1"/>
  <c r="I35" i="6" l="1"/>
  <c r="A37" i="6"/>
  <c r="H37" i="6" s="1"/>
  <c r="I36" i="6" l="1"/>
  <c r="A38" i="6"/>
  <c r="H38" i="6" s="1"/>
  <c r="I37" i="6" l="1"/>
  <c r="A39" i="6"/>
  <c r="H39" i="6" s="1"/>
  <c r="I38" i="6" l="1"/>
  <c r="A40" i="6"/>
  <c r="H40" i="6" s="1"/>
  <c r="I39" i="6" l="1"/>
  <c r="A41" i="6"/>
  <c r="H41" i="6" s="1"/>
  <c r="I40" i="6" l="1"/>
  <c r="A42" i="6"/>
  <c r="H42" i="6" s="1"/>
  <c r="I41" i="6" l="1"/>
  <c r="A43" i="6"/>
  <c r="H43" i="6" s="1"/>
  <c r="I42" i="6" l="1"/>
  <c r="A44" i="6"/>
  <c r="H44" i="6" s="1"/>
  <c r="I43" i="6" l="1"/>
  <c r="A45" i="6"/>
  <c r="H45" i="6" s="1"/>
  <c r="A46" i="6" l="1"/>
  <c r="H46" i="6" s="1"/>
  <c r="I44" i="6"/>
  <c r="I45" i="6" l="1"/>
  <c r="A47" i="6"/>
  <c r="H47" i="6" s="1"/>
  <c r="I46" i="6" l="1"/>
  <c r="A48" i="6"/>
  <c r="H48" i="6" s="1"/>
  <c r="A49" i="6" l="1"/>
  <c r="H49" i="6" s="1"/>
  <c r="I47" i="6"/>
  <c r="I48" i="6" l="1"/>
  <c r="A50" i="6"/>
  <c r="H50" i="6" s="1"/>
  <c r="I49" i="6" l="1"/>
  <c r="A51" i="6"/>
  <c r="H51" i="6" s="1"/>
  <c r="I50" i="6"/>
  <c r="A52" i="6" l="1"/>
  <c r="H52" i="6" s="1"/>
  <c r="I51" i="6"/>
  <c r="A53" i="6" l="1"/>
  <c r="H53" i="6" s="1"/>
  <c r="I52" i="6"/>
  <c r="A54" i="6" l="1"/>
  <c r="H54" i="6" s="1"/>
  <c r="I53" i="6"/>
  <c r="A55" i="6" l="1"/>
  <c r="H55" i="6" s="1"/>
  <c r="I54" i="6"/>
  <c r="A56" i="6" l="1"/>
  <c r="H56" i="6" s="1"/>
  <c r="I55" i="6"/>
  <c r="A57" i="6" l="1"/>
  <c r="H57" i="6" s="1"/>
  <c r="I56" i="6"/>
  <c r="A58" i="6" l="1"/>
  <c r="H58" i="6" s="1"/>
  <c r="A59" i="6" l="1"/>
  <c r="A60" i="6" l="1"/>
  <c r="H59" i="6"/>
  <c r="I59" i="6" s="1"/>
  <c r="A61" i="6" l="1"/>
  <c r="H60" i="6"/>
  <c r="I60" i="6" s="1"/>
  <c r="A62" i="6" l="1"/>
  <c r="H61" i="6"/>
  <c r="I61" i="6" s="1"/>
  <c r="A63" i="6" l="1"/>
  <c r="H62" i="6"/>
  <c r="I62" i="6" s="1"/>
  <c r="AD12" i="8"/>
  <c r="AC5" i="8"/>
  <c r="AC11" i="8"/>
  <c r="AC8" i="8"/>
  <c r="AC3" i="8"/>
  <c r="AC6" i="8"/>
  <c r="A64" i="6" l="1"/>
  <c r="H63" i="6"/>
  <c r="I63" i="6" s="1"/>
  <c r="AF12" i="8"/>
  <c r="AD8" i="8"/>
  <c r="AC10" i="8"/>
  <c r="AC7" i="8"/>
  <c r="AC2" i="8"/>
  <c r="AC4" i="8"/>
  <c r="AC9" i="8"/>
  <c r="A65" i="6" l="1"/>
  <c r="H64" i="6"/>
  <c r="I64" i="6" s="1"/>
  <c r="AF8" i="8"/>
  <c r="A66" i="6" l="1"/>
  <c r="H65" i="6"/>
  <c r="I65" i="6" s="1"/>
  <c r="A67" i="6" l="1"/>
  <c r="H66" i="6"/>
  <c r="I66" i="6" s="1"/>
  <c r="A68" i="6" l="1"/>
  <c r="H67" i="6"/>
  <c r="I67" i="6" s="1"/>
  <c r="A69" i="6" l="1"/>
  <c r="H68" i="6"/>
  <c r="I68" i="6" s="1"/>
  <c r="A70" i="6" l="1"/>
  <c r="H69" i="6"/>
  <c r="I69" i="6" s="1"/>
  <c r="A71" i="6" l="1"/>
  <c r="H70" i="6"/>
  <c r="I70" i="6" s="1"/>
  <c r="A72" i="6" l="1"/>
  <c r="H71" i="6"/>
  <c r="I71" i="6" s="1"/>
  <c r="A73" i="6" l="1"/>
  <c r="H72" i="6"/>
  <c r="I72" i="6" s="1"/>
  <c r="A74" i="6" l="1"/>
  <c r="H73" i="6"/>
  <c r="I73" i="6" s="1"/>
  <c r="A75" i="6" l="1"/>
  <c r="H74" i="6"/>
  <c r="I74" i="6" s="1"/>
  <c r="H75" i="6" l="1"/>
  <c r="I75" i="6" s="1"/>
  <c r="A76" i="6"/>
  <c r="H76" i="6" l="1"/>
  <c r="I76" i="6" s="1"/>
  <c r="A77" i="6"/>
  <c r="H77" i="6" l="1"/>
  <c r="I77" i="6" s="1"/>
  <c r="A78" i="6"/>
  <c r="H78" i="6" l="1"/>
  <c r="I78" i="6" s="1"/>
  <c r="A79" i="6"/>
  <c r="H79" i="6" l="1"/>
  <c r="I79" i="6" s="1"/>
  <c r="A80" i="6"/>
  <c r="H80" i="6" l="1"/>
  <c r="I80" i="6" s="1"/>
  <c r="A81" i="6"/>
  <c r="H81" i="6" l="1"/>
  <c r="I81" i="6" s="1"/>
  <c r="A82" i="6"/>
  <c r="H82" i="6" l="1"/>
  <c r="I82" i="6" s="1"/>
  <c r="A83" i="6"/>
  <c r="H83" i="6" l="1"/>
  <c r="I83" i="6" s="1"/>
  <c r="A84" i="6"/>
  <c r="H84" i="6" l="1"/>
  <c r="I84" i="6" s="1"/>
  <c r="A85" i="6"/>
  <c r="H85" i="6" l="1"/>
  <c r="I85" i="6" s="1"/>
  <c r="A86" i="6"/>
  <c r="H86" i="6" l="1"/>
  <c r="I86" i="6" s="1"/>
  <c r="A87" i="6"/>
  <c r="H87" i="6" l="1"/>
  <c r="I87" i="6" s="1"/>
  <c r="A88" i="6"/>
  <c r="H88" i="6" l="1"/>
  <c r="I88" i="6" s="1"/>
  <c r="A89" i="6"/>
  <c r="H89" i="6" l="1"/>
  <c r="I89" i="6" s="1"/>
  <c r="A90" i="6"/>
  <c r="H90" i="6" l="1"/>
  <c r="I90" i="6" s="1"/>
  <c r="A91" i="6"/>
  <c r="H91" i="6" l="1"/>
  <c r="I91" i="6" s="1"/>
  <c r="A92" i="6"/>
  <c r="H92" i="6" l="1"/>
  <c r="I92" i="6" s="1"/>
  <c r="A93" i="6"/>
  <c r="H93" i="6" l="1"/>
  <c r="I93" i="6" s="1"/>
  <c r="A94" i="6"/>
  <c r="H94" i="6" l="1"/>
  <c r="I94" i="6" s="1"/>
  <c r="A95" i="6"/>
  <c r="H95" i="6" l="1"/>
  <c r="I95" i="6" s="1"/>
  <c r="A96" i="6"/>
  <c r="H96" i="6" l="1"/>
  <c r="I96" i="6" s="1"/>
  <c r="A97" i="6"/>
  <c r="H97" i="6" l="1"/>
  <c r="I97" i="6" s="1"/>
  <c r="A98" i="6"/>
  <c r="H98" i="6" l="1"/>
  <c r="I98" i="6" s="1"/>
  <c r="A99" i="6"/>
  <c r="H99" i="6" l="1"/>
  <c r="I99" i="6" s="1"/>
  <c r="A100" i="6"/>
  <c r="H100" i="6" l="1"/>
  <c r="I100" i="6" s="1"/>
  <c r="A101" i="6"/>
  <c r="AD10" i="8"/>
  <c r="AD11" i="8"/>
  <c r="H101" i="6" l="1"/>
  <c r="I101" i="6" s="1"/>
  <c r="A102" i="6"/>
  <c r="AF11" i="8"/>
  <c r="AF10" i="8"/>
  <c r="AD3" i="8"/>
  <c r="AD6" i="8"/>
  <c r="AD5" i="8"/>
  <c r="AD7" i="8"/>
  <c r="AD4" i="8"/>
  <c r="H102" i="6" l="1"/>
  <c r="I102" i="6" s="1"/>
  <c r="A103" i="6"/>
  <c r="AF3" i="8"/>
  <c r="AF4" i="8"/>
  <c r="AF6" i="8"/>
  <c r="AF5" i="8"/>
  <c r="AF7" i="8"/>
  <c r="H103" i="6" l="1"/>
  <c r="I103" i="6" s="1"/>
  <c r="A104" i="6"/>
  <c r="H104" i="6" l="1"/>
  <c r="I104" i="6" s="1"/>
  <c r="A105" i="6"/>
  <c r="H105" i="6" l="1"/>
  <c r="I105" i="6" s="1"/>
  <c r="A106" i="6"/>
  <c r="H106" i="6" l="1"/>
  <c r="I106" i="6" s="1"/>
  <c r="A107" i="6"/>
  <c r="H107" i="6" l="1"/>
  <c r="I107" i="6" s="1"/>
  <c r="A108" i="6"/>
  <c r="H108" i="6" l="1"/>
  <c r="I108" i="6" s="1"/>
  <c r="A109" i="6"/>
  <c r="H109" i="6" l="1"/>
  <c r="I109" i="6" s="1"/>
  <c r="A110" i="6"/>
  <c r="H110" i="6" l="1"/>
  <c r="I110" i="6" s="1"/>
  <c r="A111" i="6"/>
  <c r="H111" i="6" l="1"/>
  <c r="I111" i="6" s="1"/>
  <c r="A112" i="6"/>
  <c r="H112" i="6" l="1"/>
  <c r="I112" i="6" s="1"/>
  <c r="A113" i="6"/>
  <c r="H113" i="6" l="1"/>
  <c r="I113" i="6" s="1"/>
  <c r="A114" i="6"/>
  <c r="H114" i="6" l="1"/>
  <c r="I114" i="6" s="1"/>
  <c r="A115" i="6"/>
  <c r="H115" i="6" l="1"/>
  <c r="I115" i="6" s="1"/>
  <c r="K12" i="8"/>
  <c r="M12" i="8" s="1"/>
  <c r="L3" i="8"/>
  <c r="X3" i="8" s="1"/>
  <c r="K6" i="8"/>
  <c r="M6" i="8" s="1"/>
  <c r="K7" i="8"/>
  <c r="M7" i="8" s="1"/>
  <c r="L6" i="8"/>
  <c r="X6" i="8" s="1"/>
  <c r="L10" i="8"/>
  <c r="X10" i="8" s="1"/>
  <c r="L5" i="8"/>
  <c r="X5" i="8" s="1"/>
  <c r="K3" i="8"/>
  <c r="M3" i="8" s="1"/>
  <c r="L4" i="8"/>
  <c r="X4" i="8" s="1"/>
  <c r="L12" i="8"/>
  <c r="X12" i="8" s="1"/>
  <c r="L8" i="8"/>
  <c r="X8" i="8" s="1"/>
  <c r="K13" i="8"/>
  <c r="M13" i="8" s="1"/>
  <c r="K4" i="8"/>
  <c r="M4" i="8" s="1"/>
  <c r="K11" i="8"/>
  <c r="M11" i="8" s="1"/>
  <c r="L13" i="8"/>
  <c r="X13" i="8" s="1"/>
  <c r="L2" i="8"/>
  <c r="X2" i="8" s="1"/>
  <c r="K10" i="8"/>
  <c r="M10" i="8" s="1"/>
  <c r="K15" i="8"/>
  <c r="M15" i="8" s="1"/>
  <c r="K16" i="8"/>
  <c r="M16" i="8" s="1"/>
  <c r="L14" i="8"/>
  <c r="X14" i="8" s="1"/>
  <c r="K14" i="8"/>
  <c r="M14" i="8" s="1"/>
  <c r="K5" i="8"/>
  <c r="M5" i="8" s="1"/>
  <c r="K2" i="8"/>
  <c r="M2" i="8" s="1"/>
  <c r="A116" i="6"/>
  <c r="L7" i="8"/>
  <c r="X7" i="8" s="1"/>
  <c r="L11" i="8"/>
  <c r="X11" i="8" s="1"/>
  <c r="L16" i="8"/>
  <c r="X16" i="8" s="1"/>
  <c r="L15" i="8"/>
  <c r="X15" i="8" s="1"/>
  <c r="K8" i="8"/>
  <c r="M8" i="8" s="1"/>
  <c r="H116" i="6" l="1"/>
  <c r="I116" i="6" s="1"/>
  <c r="A117" i="6"/>
  <c r="H117" i="6" l="1"/>
  <c r="I117" i="6" s="1"/>
  <c r="A118" i="6"/>
  <c r="H118" i="6" l="1"/>
  <c r="I118" i="6" s="1"/>
  <c r="A119" i="6"/>
  <c r="H119" i="6" l="1"/>
  <c r="I119" i="6" s="1"/>
  <c r="A120" i="6"/>
  <c r="H120" i="6" l="1"/>
  <c r="I120" i="6" s="1"/>
  <c r="A121" i="6"/>
  <c r="H121" i="6" l="1"/>
  <c r="I121" i="6" s="1"/>
  <c r="A122" i="6"/>
  <c r="H122" i="6" l="1"/>
  <c r="I122" i="6" s="1"/>
  <c r="A123" i="6"/>
  <c r="H123" i="6" l="1"/>
  <c r="I123" i="6" s="1"/>
  <c r="A124" i="6"/>
  <c r="H124" i="6" l="1"/>
  <c r="I124" i="6" s="1"/>
  <c r="A125" i="6"/>
  <c r="H125" i="6" l="1"/>
  <c r="I125" i="6" s="1"/>
  <c r="A126" i="6"/>
  <c r="H126" i="6" l="1"/>
  <c r="I126" i="6" s="1"/>
  <c r="A127" i="6"/>
  <c r="H127" i="6" l="1"/>
  <c r="I127" i="6" s="1"/>
  <c r="A128" i="6"/>
  <c r="H128" i="6" l="1"/>
  <c r="I128" i="6" s="1"/>
  <c r="A129" i="6"/>
  <c r="H129" i="6" l="1"/>
  <c r="I129" i="6" s="1"/>
  <c r="A130" i="6"/>
  <c r="H130" i="6" l="1"/>
  <c r="I130" i="6" s="1"/>
  <c r="A131" i="6"/>
  <c r="H131" i="6" l="1"/>
  <c r="I131" i="6" s="1"/>
  <c r="A132" i="6"/>
  <c r="H132" i="6" l="1"/>
  <c r="I132" i="6" s="1"/>
  <c r="A133" i="6"/>
  <c r="H133" i="6" l="1"/>
  <c r="I133" i="6" s="1"/>
  <c r="A134" i="6"/>
  <c r="H134" i="6" l="1"/>
  <c r="I134" i="6" s="1"/>
  <c r="A135" i="6"/>
  <c r="H135" i="6" l="1"/>
  <c r="I135" i="6" s="1"/>
  <c r="A136" i="6"/>
  <c r="H136" i="6" l="1"/>
  <c r="I136" i="6" s="1"/>
  <c r="A137" i="6"/>
  <c r="H137" i="6" l="1"/>
  <c r="I137" i="6" s="1"/>
  <c r="A138" i="6"/>
  <c r="H138" i="6" l="1"/>
  <c r="I138" i="6" s="1"/>
  <c r="A139" i="6"/>
  <c r="H139" i="6" l="1"/>
  <c r="I139" i="6" s="1"/>
  <c r="A140" i="6"/>
  <c r="H140" i="6" l="1"/>
  <c r="I140" i="6" s="1"/>
  <c r="A141" i="6"/>
  <c r="H141" i="6" l="1"/>
  <c r="I141" i="6" s="1"/>
  <c r="A142" i="6"/>
  <c r="H142" i="6" l="1"/>
  <c r="I142" i="6" s="1"/>
  <c r="A143" i="6"/>
  <c r="H143" i="6" l="1"/>
  <c r="I143" i="6" s="1"/>
  <c r="A144" i="6"/>
  <c r="H144" i="6" l="1"/>
  <c r="I144" i="6" s="1"/>
  <c r="A145" i="6"/>
  <c r="H145" i="6" l="1"/>
  <c r="I145" i="6" s="1"/>
  <c r="A146" i="6"/>
  <c r="H146" i="6" l="1"/>
  <c r="I146" i="6" s="1"/>
  <c r="A147" i="6"/>
  <c r="H147" i="6" l="1"/>
  <c r="I147" i="6" s="1"/>
  <c r="A148" i="6"/>
  <c r="H148" i="6" l="1"/>
  <c r="I148" i="6" s="1"/>
  <c r="A149" i="6"/>
  <c r="H149" i="6" l="1"/>
  <c r="I149" i="6" s="1"/>
  <c r="A150" i="6"/>
  <c r="H150" i="6" l="1"/>
  <c r="I150" i="6" s="1"/>
  <c r="A151" i="6"/>
  <c r="H151" i="6" l="1"/>
  <c r="I151" i="6" s="1"/>
  <c r="A152" i="6"/>
  <c r="H152" i="6" l="1"/>
  <c r="I152" i="6" s="1"/>
  <c r="A153" i="6"/>
  <c r="H153" i="6" l="1"/>
  <c r="I153" i="6" s="1"/>
  <c r="A154" i="6"/>
  <c r="H154" i="6" l="1"/>
  <c r="I154" i="6" s="1"/>
  <c r="A155" i="6"/>
  <c r="H155" i="6" l="1"/>
  <c r="I155" i="6" s="1"/>
  <c r="A156" i="6"/>
  <c r="H156" i="6" l="1"/>
  <c r="I156" i="6" s="1"/>
  <c r="A157" i="6"/>
  <c r="H157" i="6" l="1"/>
  <c r="I157" i="6" s="1"/>
  <c r="A158" i="6"/>
  <c r="AD9" i="8"/>
  <c r="H158" i="6" l="1"/>
  <c r="I158" i="6" s="1"/>
  <c r="A159" i="6"/>
  <c r="AF9" i="8"/>
  <c r="H159" i="6" l="1"/>
  <c r="I159" i="6" s="1"/>
  <c r="A160" i="6"/>
  <c r="H160" i="6" l="1"/>
  <c r="I160" i="6" s="1"/>
  <c r="A161" i="6"/>
  <c r="H161" i="6" l="1"/>
  <c r="I161" i="6" s="1"/>
  <c r="A162" i="6"/>
  <c r="H162" i="6" l="1"/>
  <c r="I162" i="6" s="1"/>
  <c r="A163" i="6"/>
  <c r="H163" i="6" l="1"/>
  <c r="I163" i="6" s="1"/>
  <c r="A164" i="6"/>
  <c r="H164" i="6" l="1"/>
  <c r="I164" i="6" s="1"/>
  <c r="A165" i="6"/>
  <c r="H165" i="6" l="1"/>
  <c r="I165" i="6" s="1"/>
  <c r="A166" i="6"/>
  <c r="H166" i="6" l="1"/>
  <c r="I166" i="6" s="1"/>
  <c r="A167" i="6"/>
  <c r="H167" i="6" l="1"/>
  <c r="I167" i="6" s="1"/>
  <c r="A168" i="6"/>
  <c r="H168" i="6" l="1"/>
  <c r="I168" i="6" s="1"/>
  <c r="A169" i="6"/>
  <c r="H169" i="6" l="1"/>
  <c r="I169" i="6" s="1"/>
  <c r="A170" i="6"/>
  <c r="H170" i="6" l="1"/>
  <c r="I170" i="6" s="1"/>
  <c r="A171" i="6"/>
  <c r="H171" i="6" l="1"/>
  <c r="I171" i="6" s="1"/>
  <c r="A172" i="6"/>
  <c r="H172" i="6" l="1"/>
  <c r="I172" i="6" s="1"/>
  <c r="K9" i="8"/>
  <c r="M9" i="8" s="1"/>
  <c r="A173" i="6"/>
  <c r="L9" i="8"/>
  <c r="X9" i="8" s="1"/>
  <c r="H173" i="6" l="1"/>
  <c r="I173" i="6" s="1"/>
  <c r="A174" i="6"/>
  <c r="H174" i="6" l="1"/>
  <c r="I174" i="6" s="1"/>
  <c r="A175" i="6"/>
  <c r="A176" i="6" l="1"/>
  <c r="H175" i="6"/>
  <c r="I175" i="6" s="1"/>
  <c r="H176" i="6" l="1"/>
  <c r="I176" i="6" s="1"/>
  <c r="A177" i="6"/>
  <c r="H177" i="6" l="1"/>
  <c r="I177" i="6" s="1"/>
  <c r="A178" i="6"/>
  <c r="H178" i="6" l="1"/>
  <c r="I178" i="6" s="1"/>
  <c r="A179" i="6"/>
  <c r="H179" i="6" l="1"/>
  <c r="I179" i="6" s="1"/>
  <c r="A180" i="6"/>
  <c r="H180" i="6" l="1"/>
  <c r="I180" i="6" s="1"/>
  <c r="A181" i="6"/>
  <c r="H181" i="6" l="1"/>
  <c r="I181" i="6" s="1"/>
  <c r="A182" i="6"/>
  <c r="H182" i="6" l="1"/>
  <c r="I182" i="6" s="1"/>
  <c r="A183" i="6"/>
  <c r="H183" i="6" l="1"/>
  <c r="I183" i="6" s="1"/>
  <c r="A184" i="6"/>
  <c r="H184" i="6" l="1"/>
  <c r="I184" i="6" s="1"/>
  <c r="A185" i="6"/>
  <c r="H185" i="6" l="1"/>
  <c r="I185" i="6" s="1"/>
  <c r="A186" i="6"/>
  <c r="H186" i="6" l="1"/>
  <c r="I186" i="6" s="1"/>
  <c r="A187" i="6"/>
  <c r="H187" i="6" l="1"/>
  <c r="I187" i="6" s="1"/>
  <c r="A188" i="6"/>
  <c r="H188" i="6" l="1"/>
  <c r="I188" i="6" s="1"/>
  <c r="A189" i="6"/>
  <c r="A190" i="6" l="1"/>
  <c r="H189" i="6"/>
  <c r="I189" i="6" s="1"/>
  <c r="A191" i="6" l="1"/>
  <c r="H190" i="6"/>
  <c r="I190" i="6" s="1"/>
  <c r="H191" i="6" l="1"/>
  <c r="I191" i="6" s="1"/>
  <c r="A192" i="6"/>
  <c r="H192" i="6" l="1"/>
  <c r="I192" i="6" s="1"/>
  <c r="A193" i="6"/>
  <c r="H193" i="6" l="1"/>
  <c r="I193" i="6" s="1"/>
  <c r="A194" i="6"/>
  <c r="H194" i="6" l="1"/>
  <c r="I194" i="6" s="1"/>
  <c r="A195" i="6"/>
  <c r="A196" i="6" l="1"/>
  <c r="H195" i="6"/>
  <c r="I195" i="6" s="1"/>
  <c r="H196" i="6" l="1"/>
  <c r="I196" i="6" s="1"/>
  <c r="A197" i="6"/>
  <c r="A198" i="6" l="1"/>
  <c r="H197" i="6"/>
  <c r="I197" i="6" s="1"/>
  <c r="A199" i="6" l="1"/>
  <c r="H198" i="6"/>
  <c r="I198" i="6" s="1"/>
  <c r="A200" i="6" l="1"/>
  <c r="H199" i="6"/>
  <c r="I199" i="6" s="1"/>
  <c r="H200" i="6" l="1"/>
  <c r="I200" i="6" s="1"/>
  <c r="A201" i="6"/>
  <c r="A202" i="6" l="1"/>
  <c r="H201" i="6"/>
  <c r="I201" i="6" s="1"/>
  <c r="A203" i="6" l="1"/>
  <c r="H202" i="6"/>
  <c r="I202" i="6" s="1"/>
  <c r="AA2" i="8"/>
  <c r="A204" i="6" l="1"/>
  <c r="H203" i="6"/>
  <c r="I203" i="6" s="1"/>
  <c r="I58" i="6"/>
  <c r="I57" i="6"/>
  <c r="AD2" i="8"/>
  <c r="A205" i="6" l="1"/>
  <c r="H204" i="6"/>
  <c r="I204" i="6" s="1"/>
  <c r="AF2" i="8"/>
  <c r="A206" i="6" l="1"/>
  <c r="H205" i="6"/>
  <c r="I205" i="6" s="1"/>
  <c r="A207" i="6" l="1"/>
  <c r="H206" i="6"/>
  <c r="I206" i="6" s="1"/>
  <c r="A208" i="6" l="1"/>
  <c r="H207" i="6"/>
  <c r="I207" i="6" s="1"/>
  <c r="A209" i="6" l="1"/>
  <c r="H208" i="6"/>
  <c r="I208" i="6" s="1"/>
  <c r="A210" i="6" l="1"/>
  <c r="H209" i="6"/>
  <c r="I209" i="6" s="1"/>
  <c r="A211" i="6" l="1"/>
  <c r="H210" i="6"/>
  <c r="I210" i="6" s="1"/>
  <c r="A212" i="6" l="1"/>
  <c r="H211" i="6"/>
  <c r="I211" i="6" s="1"/>
  <c r="A213" i="6" l="1"/>
  <c r="H212" i="6"/>
  <c r="I212" i="6" s="1"/>
  <c r="A214" i="6" l="1"/>
  <c r="H213" i="6"/>
  <c r="I213" i="6" s="1"/>
  <c r="H214" i="6" l="1"/>
  <c r="I214" i="6" s="1"/>
  <c r="A215" i="6"/>
  <c r="A216" i="6" l="1"/>
  <c r="H215" i="6"/>
  <c r="I215" i="6" s="1"/>
  <c r="A217" i="6" l="1"/>
  <c r="H216" i="6"/>
  <c r="I216" i="6" s="1"/>
  <c r="A218" i="6" l="1"/>
  <c r="H217" i="6"/>
  <c r="I217" i="6" s="1"/>
  <c r="A219" i="6" l="1"/>
  <c r="H218" i="6"/>
  <c r="I218" i="6" s="1"/>
  <c r="A220" i="6" l="1"/>
  <c r="H219" i="6"/>
  <c r="I219" i="6" s="1"/>
  <c r="A221" i="6" l="1"/>
  <c r="H220" i="6"/>
  <c r="I220" i="6" s="1"/>
  <c r="A222" i="6" l="1"/>
  <c r="H221" i="6"/>
  <c r="I221" i="6" s="1"/>
  <c r="A223" i="6" l="1"/>
  <c r="H222" i="6"/>
  <c r="I222" i="6" s="1"/>
  <c r="A224" i="6" l="1"/>
  <c r="H223" i="6"/>
  <c r="I223" i="6" s="1"/>
  <c r="A225" i="6" l="1"/>
  <c r="H224" i="6"/>
  <c r="I224" i="6" s="1"/>
  <c r="A226" i="6" l="1"/>
  <c r="H225" i="6"/>
  <c r="I225" i="6" s="1"/>
  <c r="A227" i="6" l="1"/>
  <c r="H226" i="6"/>
  <c r="I226" i="6" s="1"/>
  <c r="A228" i="6" l="1"/>
  <c r="H228" i="6" s="1"/>
  <c r="I228" i="6" s="1"/>
  <c r="H227" i="6"/>
  <c r="I227" i="6" s="1"/>
</calcChain>
</file>

<file path=xl/sharedStrings.xml><?xml version="1.0" encoding="utf-8"?>
<sst xmlns="http://schemas.openxmlformats.org/spreadsheetml/2006/main" count="852" uniqueCount="108">
  <si>
    <t>Номер участка</t>
  </si>
  <si>
    <t>Площадь</t>
  </si>
  <si>
    <t>Собственник</t>
  </si>
  <si>
    <t>Налюшний Г.П.</t>
  </si>
  <si>
    <t>Родзевич Д.</t>
  </si>
  <si>
    <t>Панюшкин Д.А.</t>
  </si>
  <si>
    <t xml:space="preserve">Цена </t>
  </si>
  <si>
    <t>23:07:0302000:</t>
  </si>
  <si>
    <t>Милосердов В.В.</t>
  </si>
  <si>
    <t>Статус</t>
  </si>
  <si>
    <t>Свободно</t>
  </si>
  <si>
    <t>Бронь</t>
  </si>
  <si>
    <t>Продано ранее</t>
  </si>
  <si>
    <t>Майстровский</t>
  </si>
  <si>
    <t>ФИО Покупателя</t>
  </si>
  <si>
    <t>Дата рождения Покупателя</t>
  </si>
  <si>
    <t>Серия паспорта</t>
  </si>
  <si>
    <t>Номер Паспорта</t>
  </si>
  <si>
    <t>Дата выдачи паспорта</t>
  </si>
  <si>
    <t>КП</t>
  </si>
  <si>
    <t>Прописка</t>
  </si>
  <si>
    <t>Кем выдан</t>
  </si>
  <si>
    <t>Номер договора</t>
  </si>
  <si>
    <t>Стоимость по договору</t>
  </si>
  <si>
    <t xml:space="preserve">Сумма договора прописью </t>
  </si>
  <si>
    <t>Сумма аванса</t>
  </si>
  <si>
    <t>Сумма аванса прописью</t>
  </si>
  <si>
    <t>Сумма ежемес. платежа</t>
  </si>
  <si>
    <t>Сумма ежемес. платежа прописью</t>
  </si>
  <si>
    <t>Дата первого платежа</t>
  </si>
  <si>
    <t>Дата последнего платежа</t>
  </si>
  <si>
    <t>Срок рассрочки (мес)</t>
  </si>
  <si>
    <t>Ставка</t>
  </si>
  <si>
    <t>Копейки</t>
  </si>
  <si>
    <t>Телефон Покупателя</t>
  </si>
  <si>
    <t>e-mail Покупателя</t>
  </si>
  <si>
    <t>УНП</t>
  </si>
  <si>
    <t>КН</t>
  </si>
  <si>
    <t>Цена базовая</t>
  </si>
  <si>
    <t>Дата договора</t>
  </si>
  <si>
    <t>КН 1</t>
  </si>
  <si>
    <t>КН 2</t>
  </si>
  <si>
    <t>Покупатель</t>
  </si>
  <si>
    <t xml:space="preserve"> </t>
  </si>
  <si>
    <t>Иброхимов Сухроб Юлдош угли</t>
  </si>
  <si>
    <t>AB</t>
  </si>
  <si>
    <t>Место рождения</t>
  </si>
  <si>
    <t>Гражданство</t>
  </si>
  <si>
    <t>ОВД Шафирканского района Бухарской области</t>
  </si>
  <si>
    <t>Орзиев Омон Шарипович</t>
  </si>
  <si>
    <t>Каширин Александр Валерьевич</t>
  </si>
  <si>
    <t>Отделом №2 УФМС России по Омской области в Центральном администротивном округе города Омска</t>
  </si>
  <si>
    <t>550-007</t>
  </si>
  <si>
    <t>Экимян Лусине Агасиевна</t>
  </si>
  <si>
    <t>Отделом УФМС России по Ростовской области в г.Новошахтинске</t>
  </si>
  <si>
    <t>610-048</t>
  </si>
  <si>
    <t>Волощенко Роман Викторович</t>
  </si>
  <si>
    <t>0313</t>
  </si>
  <si>
    <t>Отделением УФМС России по Краснодарскому краю в Приморско-Ахтарском р-не</t>
  </si>
  <si>
    <t>230-048</t>
  </si>
  <si>
    <t>Рассрочка</t>
  </si>
  <si>
    <t>НЕТ</t>
  </si>
  <si>
    <t>Республики Узбекистан</t>
  </si>
  <si>
    <t>РФ</t>
  </si>
  <si>
    <t>Омская область, г.Омск, ул.Красный Путь, д.28А, кв.63</t>
  </si>
  <si>
    <t>Краснодарский край, г.Краснодар, ул.Симиренко, д.37, корп.1, кв.170</t>
  </si>
  <si>
    <t>Краснодарский край, г. Краснодар, С/Т «Орбита», ул. Осеняя, д.335</t>
  </si>
  <si>
    <t>Краснодарский край, г. Краснодар, С/Т «КТТУ», ул. Кутузова, д.37</t>
  </si>
  <si>
    <t>Республика Узбекистан, Бухарская область, Шафирканский район</t>
  </si>
  <si>
    <t>Попов Илья Александрович</t>
  </si>
  <si>
    <t>Отделом милиции гор.Щелково Щелковского УВД Московской области</t>
  </si>
  <si>
    <t>503-119</t>
  </si>
  <si>
    <t>Московская область, г.Щелково, ул.Первомайская, д.50, кв.10</t>
  </si>
  <si>
    <t>Калмыкова Лидия Павловна</t>
  </si>
  <si>
    <t>г.Прохладный КБАССР</t>
  </si>
  <si>
    <t>072-007</t>
  </si>
  <si>
    <t>ОВД гор.Прохладного Кабардино-Балкарской Республики</t>
  </si>
  <si>
    <t xml:space="preserve">Кабардино-Балкарская республика, гор.Прохладный, ул.Строительная, д.244 </t>
  </si>
  <si>
    <t>Краснодарский край, г. Краснодар, пр.3-й Мартыновский, д.16</t>
  </si>
  <si>
    <t>гор.Щелково Московской области</t>
  </si>
  <si>
    <t>КП 2</t>
  </si>
  <si>
    <t>гор.Омск</t>
  </si>
  <si>
    <t>гор.Ереван Армянской ССР</t>
  </si>
  <si>
    <t>гор.Приморско-Ахтарск Краснодарского края</t>
  </si>
  <si>
    <t>Волощенко Наталья Анатольевна</t>
  </si>
  <si>
    <t>с.Дурмин район им.Лазо Хабаровского края</t>
  </si>
  <si>
    <t>0305</t>
  </si>
  <si>
    <t>Отделом внутренних дел Приморско-Ахтарского р-на Краснодарского края</t>
  </si>
  <si>
    <t>232-048</t>
  </si>
  <si>
    <t>Краснодарский край, г.Краснодар, ул.Шмидта, д.83, кв.1</t>
  </si>
  <si>
    <t>Краснодарский край, г.Приморско-Ахтарск, ул.Шмидта, д.83, кв.1</t>
  </si>
  <si>
    <t>Попова Галина Александровна</t>
  </si>
  <si>
    <t xml:space="preserve">Хвалынским ГОВД Саратовской области </t>
  </si>
  <si>
    <t>Краснодарский край, Кореновский район, ст. Платнировская, ул. Привокзальная, д.15, кв.1</t>
  </si>
  <si>
    <t>с.Ново-Николаевское, Радищевского района Ульяновской области</t>
  </si>
  <si>
    <t>642-045</t>
  </si>
  <si>
    <t>Пяткова Татьяна Семеновна</t>
  </si>
  <si>
    <t>город Бердск Новосибирской области</t>
  </si>
  <si>
    <t>Управлением внутренних дел Искитимского района Новосибирской области</t>
  </si>
  <si>
    <t>542-018</t>
  </si>
  <si>
    <t>гор.Новосибирск, ул.Ватутина, д.47, кв.63</t>
  </si>
  <si>
    <t>Баяндин Илья Вячеславович</t>
  </si>
  <si>
    <t>гор. Кемерово</t>
  </si>
  <si>
    <t>0105</t>
  </si>
  <si>
    <t>Отделом внутренних дел города Новоалтайска Алтайского края</t>
  </si>
  <si>
    <t>222-033</t>
  </si>
  <si>
    <t>Краснодарский край, г. Краснодар, с/о Калининский НСТ «Орбита», ул. Клубничная, д.120</t>
  </si>
  <si>
    <t>Цена по договору (за 100 кв.м.)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</si>
</sst>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0\ _₽_-;\-* #,##0.00\ _₽_-;_-* &quot;-&quot;??\ _₽_-;_-@_-"/>
    <numFmt numFmtId="166" formatCode="_-* #,##0\ _₽_-;\-* #,##0\ _₽_-;_-* &quot;-&quot;??\ _₽_-;_-@_-"/>
    <numFmt numFmtId="167" formatCode="dd/mm/yy;@"/>
    <numFmt numFmtId="168" formatCode="[&lt;=9999999]###\-####;\(###\)\ ###\-####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 Light"/>
      <family val="2"/>
      <charset val="204"/>
      <scheme val="major"/>
    </font>
    <font>
      <sz val="11"/>
      <name val="Calibri Light"/>
      <family val="2"/>
      <charset val="204"/>
      <scheme val="major"/>
    </font>
    <font>
      <sz val="11"/>
      <color rgb="FFC00000"/>
      <name val="Calibri Light"/>
      <family val="2"/>
      <charset val="204"/>
      <scheme val="major"/>
    </font>
    <font>
      <u/>
      <sz val="11"/>
      <color theme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FF0000"/>
      <name val="Calibri Light"/>
      <family val="2"/>
      <charset val="204"/>
      <scheme val="major"/>
    </font>
    <font>
      <sz val="11"/>
      <color rgb="FF7030A0"/>
      <name val="Calibri Light"/>
      <family val="2"/>
      <charset val="204"/>
      <scheme val="major"/>
    </font>
    <font>
      <sz val="11"/>
      <color theme="0" tint="-0.499984740745262"/>
      <name val="Calibri Light"/>
      <family val="2"/>
      <charset val="204"/>
      <scheme val="maj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0" applyFont="1"/>
    <xf numFmtId="164" fontId="2" fillId="0" borderId="0" xfId="1" applyNumberFormat="1" applyFont="1"/>
    <xf numFmtId="0" fontId="2" fillId="0" borderId="0" xfId="0" applyNumberFormat="1" applyFont="1" applyAlignment="1">
      <alignment horizontal="left" vertical="top" wrapText="1" indent="1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21" fontId="3" fillId="0" borderId="0" xfId="0" applyNumberFormat="1" applyFont="1" applyAlignment="1">
      <alignment horizontal="right"/>
    </xf>
    <xf numFmtId="164" fontId="2" fillId="0" borderId="0" xfId="1" applyNumberFormat="1" applyFont="1" applyAlignment="1">
      <alignment horizontal="left" indent="1"/>
    </xf>
    <xf numFmtId="164" fontId="4" fillId="0" borderId="0" xfId="1" applyNumberFormat="1" applyFont="1"/>
    <xf numFmtId="0" fontId="4" fillId="0" borderId="0" xfId="0" applyFont="1"/>
    <xf numFmtId="21" fontId="4" fillId="0" borderId="0" xfId="0" applyNumberFormat="1" applyFont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indent="1"/>
    </xf>
    <xf numFmtId="164" fontId="4" fillId="0" borderId="0" xfId="1" applyNumberFormat="1" applyFont="1" applyFill="1"/>
    <xf numFmtId="0" fontId="4" fillId="0" borderId="0" xfId="0" applyFont="1" applyFill="1"/>
    <xf numFmtId="21" fontId="4" fillId="0" borderId="0" xfId="0" applyNumberFormat="1" applyFont="1" applyFill="1" applyAlignment="1">
      <alignment horizontal="right"/>
    </xf>
    <xf numFmtId="0" fontId="4" fillId="0" borderId="0" xfId="0" applyFont="1" applyFill="1" applyAlignment="1">
      <alignment horizontal="left"/>
    </xf>
    <xf numFmtId="0" fontId="4" fillId="0" borderId="0" xfId="0" applyFont="1" applyFill="1" applyAlignment="1">
      <alignment horizontal="left" indent="1"/>
    </xf>
    <xf numFmtId="0" fontId="2" fillId="2" borderId="1" xfId="0" applyNumberFormat="1" applyFont="1" applyFill="1" applyBorder="1" applyAlignment="1">
      <alignment horizontal="left" vertical="top" wrapText="1" indent="1"/>
    </xf>
    <xf numFmtId="167" fontId="2" fillId="2" borderId="1" xfId="0" applyNumberFormat="1" applyFont="1" applyFill="1" applyBorder="1" applyAlignment="1">
      <alignment horizontal="left" vertical="top" wrapText="1" indent="1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left" indent="1"/>
    </xf>
    <xf numFmtId="167" fontId="2" fillId="0" borderId="0" xfId="0" applyNumberFormat="1" applyFont="1"/>
    <xf numFmtId="0" fontId="3" fillId="0" borderId="0" xfId="0" applyFont="1"/>
    <xf numFmtId="0" fontId="2" fillId="2" borderId="1" xfId="1" applyNumberFormat="1" applyFont="1" applyFill="1" applyBorder="1" applyAlignment="1">
      <alignment horizontal="left" vertical="top" wrapText="1" indent="1"/>
    </xf>
    <xf numFmtId="0" fontId="2" fillId="2" borderId="1" xfId="0" applyNumberFormat="1" applyFont="1" applyFill="1" applyBorder="1" applyAlignment="1">
      <alignment horizontal="left" vertical="top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2" fillId="0" borderId="0" xfId="0" applyFont="1" applyAlignment="1">
      <alignment horizontal="right" indent="1"/>
    </xf>
    <xf numFmtId="0" fontId="2" fillId="2" borderId="1" xfId="1" applyNumberFormat="1" applyFont="1" applyFill="1" applyBorder="1" applyAlignment="1">
      <alignment horizontal="right" vertical="top" wrapText="1" indent="2"/>
    </xf>
    <xf numFmtId="0" fontId="4" fillId="0" borderId="0" xfId="1" applyNumberFormat="1" applyFont="1" applyAlignment="1">
      <alignment horizontal="right" indent="2"/>
    </xf>
    <xf numFmtId="0" fontId="4" fillId="0" borderId="0" xfId="1" applyNumberFormat="1" applyFont="1" applyFill="1" applyAlignment="1">
      <alignment horizontal="right" indent="2"/>
    </xf>
    <xf numFmtId="0" fontId="2" fillId="0" borderId="0" xfId="0" applyNumberFormat="1" applyFont="1" applyAlignment="1">
      <alignment horizontal="right" indent="2"/>
    </xf>
    <xf numFmtId="164" fontId="4" fillId="0" borderId="0" xfId="1" applyNumberFormat="1" applyFont="1" applyAlignment="1">
      <alignment horizontal="right" indent="1"/>
    </xf>
    <xf numFmtId="164" fontId="2" fillId="0" borderId="0" xfId="1" applyNumberFormat="1" applyFont="1" applyAlignment="1">
      <alignment horizontal="right" indent="1"/>
    </xf>
    <xf numFmtId="164" fontId="3" fillId="0" borderId="0" xfId="1" applyNumberFormat="1" applyFont="1"/>
    <xf numFmtId="0" fontId="3" fillId="0" borderId="0" xfId="1" applyNumberFormat="1" applyFont="1" applyAlignment="1">
      <alignment horizontal="right" indent="2"/>
    </xf>
    <xf numFmtId="164" fontId="3" fillId="0" borderId="0" xfId="1" applyNumberFormat="1" applyFont="1" applyAlignment="1">
      <alignment horizontal="right" indent="1"/>
    </xf>
    <xf numFmtId="164" fontId="3" fillId="0" borderId="0" xfId="1" applyNumberFormat="1" applyFont="1" applyAlignment="1">
      <alignment horizontal="left" indent="1"/>
    </xf>
    <xf numFmtId="164" fontId="2" fillId="2" borderId="1" xfId="1" applyNumberFormat="1" applyFont="1" applyFill="1" applyBorder="1" applyAlignment="1">
      <alignment vertical="top" wrapText="1"/>
    </xf>
    <xf numFmtId="0" fontId="5" fillId="0" borderId="0" xfId="2" applyAlignment="1">
      <alignment horizontal="left" indent="1"/>
    </xf>
    <xf numFmtId="0" fontId="2" fillId="2" borderId="1" xfId="0" applyNumberFormat="1" applyFont="1" applyFill="1" applyBorder="1" applyAlignment="1" applyProtection="1">
      <alignment horizontal="left" vertical="top" wrapText="1" indent="1"/>
      <protection locked="0"/>
    </xf>
    <xf numFmtId="0" fontId="3" fillId="2" borderId="1" xfId="0" applyNumberFormat="1" applyFont="1" applyFill="1" applyBorder="1" applyAlignment="1" applyProtection="1">
      <alignment horizontal="left" vertical="top" wrapText="1" indent="1"/>
      <protection locked="0"/>
    </xf>
    <xf numFmtId="0" fontId="2" fillId="2" borderId="1" xfId="1" applyNumberFormat="1" applyFont="1" applyFill="1" applyBorder="1" applyAlignment="1" applyProtection="1">
      <alignment horizontal="left" vertical="top" wrapText="1" indent="1"/>
      <protection locked="0"/>
    </xf>
    <xf numFmtId="0" fontId="3" fillId="2" borderId="1" xfId="1" applyNumberFormat="1" applyFont="1" applyFill="1" applyBorder="1" applyAlignment="1" applyProtection="1">
      <alignment horizontal="left" vertical="top" wrapText="1" indent="1"/>
      <protection locked="0"/>
    </xf>
    <xf numFmtId="0" fontId="3" fillId="0" borderId="0" xfId="0" applyFont="1" applyProtection="1">
      <protection locked="0"/>
    </xf>
    <xf numFmtId="0" fontId="4" fillId="0" borderId="0" xfId="0" applyFont="1" applyAlignment="1" applyProtection="1">
      <alignment horizontal="right" indent="1"/>
      <protection locked="0"/>
    </xf>
    <xf numFmtId="164" fontId="4" fillId="0" borderId="0" xfId="1" applyNumberFormat="1" applyFont="1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right" indent="1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 indent="1"/>
      <protection locked="0"/>
    </xf>
    <xf numFmtId="164" fontId="2" fillId="0" borderId="0" xfId="1" applyNumberFormat="1" applyFont="1" applyProtection="1">
      <protection locked="0"/>
    </xf>
    <xf numFmtId="0" fontId="2" fillId="0" borderId="0" xfId="0" applyNumberFormat="1" applyFont="1" applyAlignment="1">
      <alignment horizontal="right" indent="1"/>
    </xf>
    <xf numFmtId="168" fontId="2" fillId="0" borderId="0" xfId="0" applyNumberFormat="1" applyFont="1"/>
    <xf numFmtId="167" fontId="2" fillId="0" borderId="0" xfId="0" applyNumberFormat="1" applyFont="1" applyAlignment="1">
      <alignment horizontal="left" indent="1"/>
    </xf>
    <xf numFmtId="0" fontId="7" fillId="0" borderId="0" xfId="1" applyNumberFormat="1" applyFont="1" applyAlignment="1">
      <alignment horizontal="right" indent="2"/>
    </xf>
    <xf numFmtId="0" fontId="7" fillId="0" borderId="0" xfId="0" applyFont="1" applyAlignment="1">
      <alignment horizontal="left"/>
    </xf>
    <xf numFmtId="164" fontId="8" fillId="0" borderId="0" xfId="1" applyNumberFormat="1" applyFont="1"/>
    <xf numFmtId="0" fontId="2" fillId="0" borderId="0" xfId="0" quotePrefix="1" applyFont="1" applyAlignment="1">
      <alignment horizontal="center"/>
    </xf>
    <xf numFmtId="0" fontId="2" fillId="2" borderId="1" xfId="0" applyNumberFormat="1" applyFont="1" applyFill="1" applyBorder="1" applyAlignment="1">
      <alignment vertical="top" wrapText="1"/>
    </xf>
    <xf numFmtId="0" fontId="4" fillId="0" borderId="0" xfId="0" applyFont="1" applyAlignment="1" applyProtection="1">
      <protection locked="0"/>
    </xf>
    <xf numFmtId="0" fontId="2" fillId="0" borderId="0" xfId="0" applyFont="1" applyAlignment="1" applyProtection="1">
      <protection locked="0"/>
    </xf>
    <xf numFmtId="167" fontId="2" fillId="2" borderId="1" xfId="0" applyNumberFormat="1" applyFont="1" applyFill="1" applyBorder="1" applyAlignment="1">
      <alignment vertical="top" wrapText="1"/>
    </xf>
    <xf numFmtId="14" fontId="2" fillId="2" borderId="1" xfId="0" applyNumberFormat="1" applyFont="1" applyFill="1" applyBorder="1" applyAlignment="1" applyProtection="1">
      <alignment horizontal="left" vertical="top" wrapText="1" indent="1"/>
      <protection locked="0"/>
    </xf>
    <xf numFmtId="14" fontId="2" fillId="0" borderId="0" xfId="0" applyNumberFormat="1" applyFont="1"/>
    <xf numFmtId="49" fontId="2" fillId="0" borderId="0" xfId="0" applyNumberFormat="1" applyFont="1" applyAlignment="1">
      <alignment horizontal="center"/>
    </xf>
    <xf numFmtId="49" fontId="2" fillId="2" borderId="1" xfId="0" applyNumberFormat="1" applyFont="1" applyFill="1" applyBorder="1" applyAlignment="1">
      <alignment horizontal="left" vertical="top" wrapText="1" indent="1"/>
    </xf>
    <xf numFmtId="49" fontId="2" fillId="0" borderId="0" xfId="0" quotePrefix="1" applyNumberFormat="1" applyFont="1" applyAlignment="1">
      <alignment horizontal="center"/>
    </xf>
    <xf numFmtId="49" fontId="2" fillId="0" borderId="0" xfId="0" applyNumberFormat="1" applyFont="1"/>
    <xf numFmtId="0" fontId="9" fillId="0" borderId="0" xfId="0" applyFont="1" applyAlignment="1" applyProtection="1">
      <alignment horizontal="right" indent="1"/>
      <protection locked="0"/>
    </xf>
    <xf numFmtId="0" fontId="7" fillId="0" borderId="0" xfId="0" applyFont="1" applyAlignment="1" applyProtection="1">
      <alignment horizontal="right" indent="1"/>
      <protection locked="0"/>
    </xf>
    <xf numFmtId="14" fontId="7" fillId="0" borderId="0" xfId="0" applyNumberFormat="1" applyFont="1" applyAlignment="1" applyProtection="1">
      <alignment horizontal="left" indent="1"/>
      <protection locked="0"/>
    </xf>
    <xf numFmtId="167" fontId="9" fillId="0" borderId="0" xfId="0" applyNumberFormat="1" applyFont="1" applyAlignment="1" applyProtection="1">
      <alignment horizontal="left" indent="1"/>
      <protection locked="0"/>
    </xf>
    <xf numFmtId="167" fontId="9" fillId="0" borderId="0" xfId="0" applyNumberFormat="1" applyFont="1" applyAlignment="1" applyProtection="1">
      <alignment horizontal="center"/>
      <protection locked="0"/>
    </xf>
    <xf numFmtId="167" fontId="9" fillId="0" borderId="0" xfId="0" applyNumberFormat="1" applyFont="1" applyAlignment="1" applyProtection="1">
      <protection locked="0"/>
    </xf>
    <xf numFmtId="1" fontId="9" fillId="0" borderId="0" xfId="0" applyNumberFormat="1" applyFont="1" applyAlignment="1" applyProtection="1">
      <alignment horizontal="center"/>
      <protection locked="0"/>
    </xf>
    <xf numFmtId="1" fontId="9" fillId="0" borderId="0" xfId="0" applyNumberFormat="1" applyFont="1" applyAlignment="1" applyProtection="1">
      <protection locked="0"/>
    </xf>
    <xf numFmtId="1" fontId="9" fillId="0" borderId="0" xfId="0" applyNumberFormat="1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left" indent="1"/>
      <protection locked="0"/>
    </xf>
    <xf numFmtId="0" fontId="9" fillId="0" borderId="0" xfId="0" applyNumberFormat="1" applyFont="1" applyAlignment="1" applyProtection="1">
      <alignment horizontal="left" indent="1"/>
      <protection locked="0"/>
    </xf>
    <xf numFmtId="0" fontId="9" fillId="0" borderId="0" xfId="0" applyFont="1" applyAlignment="1" applyProtection="1">
      <alignment horizontal="right" indent="2"/>
      <protection locked="0"/>
    </xf>
    <xf numFmtId="0" fontId="9" fillId="0" borderId="0" xfId="0" applyNumberFormat="1" applyFont="1" applyAlignment="1" applyProtection="1">
      <alignment horizontal="right" indent="2"/>
      <protection locked="0"/>
    </xf>
    <xf numFmtId="164" fontId="7" fillId="0" borderId="0" xfId="1" applyNumberFormat="1" applyFont="1" applyAlignment="1" applyProtection="1">
      <alignment horizontal="left" indent="1"/>
      <protection locked="0"/>
    </xf>
    <xf numFmtId="164" fontId="9" fillId="0" borderId="0" xfId="1" applyNumberFormat="1" applyFont="1" applyAlignment="1" applyProtection="1">
      <alignment horizontal="left" indent="1"/>
      <protection locked="0"/>
    </xf>
    <xf numFmtId="43" fontId="7" fillId="0" borderId="0" xfId="1" applyFont="1" applyAlignment="1" applyProtection="1">
      <alignment horizontal="left" indent="1"/>
      <protection locked="0"/>
    </xf>
    <xf numFmtId="43" fontId="7" fillId="0" borderId="0" xfId="1" applyNumberFormat="1" applyFont="1" applyAlignment="1" applyProtection="1">
      <alignment horizontal="left" indent="1"/>
      <protection locked="0"/>
    </xf>
    <xf numFmtId="9" fontId="7" fillId="0" borderId="0" xfId="3" applyFont="1" applyAlignment="1" applyProtection="1">
      <alignment horizontal="center"/>
      <protection locked="0"/>
    </xf>
    <xf numFmtId="165" fontId="9" fillId="0" borderId="0" xfId="1" applyNumberFormat="1" applyFont="1" applyProtection="1">
      <protection locked="0"/>
    </xf>
    <xf numFmtId="14" fontId="9" fillId="0" borderId="0" xfId="0" applyNumberFormat="1" applyFont="1" applyAlignment="1" applyProtection="1">
      <alignment horizontal="center"/>
      <protection locked="0"/>
    </xf>
    <xf numFmtId="0" fontId="9" fillId="0" borderId="0" xfId="0" applyFont="1" applyProtection="1">
      <protection locked="0"/>
    </xf>
    <xf numFmtId="0" fontId="9" fillId="0" borderId="0" xfId="0" applyNumberFormat="1" applyFont="1" applyProtection="1">
      <protection locked="0"/>
    </xf>
    <xf numFmtId="166" fontId="9" fillId="0" borderId="0" xfId="0" applyNumberFormat="1" applyFont="1" applyProtection="1">
      <protection locked="0"/>
    </xf>
    <xf numFmtId="49" fontId="2" fillId="2" borderId="1" xfId="0" applyNumberFormat="1" applyFont="1" applyFill="1" applyBorder="1" applyAlignment="1" applyProtection="1">
      <alignment horizontal="left" vertical="top" wrapText="1" indent="1"/>
      <protection locked="0"/>
    </xf>
    <xf numFmtId="49" fontId="9" fillId="0" borderId="0" xfId="0" applyNumberFormat="1" applyFont="1" applyAlignment="1" applyProtection="1">
      <protection locked="0"/>
    </xf>
    <xf numFmtId="49" fontId="4" fillId="0" borderId="0" xfId="0" applyNumberFormat="1" applyFont="1" applyAlignment="1" applyProtection="1">
      <alignment horizontal="left" indent="1"/>
      <protection locked="0"/>
    </xf>
    <xf numFmtId="49" fontId="2" fillId="0" borderId="0" xfId="0" applyNumberFormat="1" applyFont="1" applyAlignment="1" applyProtection="1">
      <alignment horizontal="left" indent="1"/>
      <protection locked="0"/>
    </xf>
    <xf numFmtId="49" fontId="5" fillId="0" borderId="0" xfId="2" applyNumberFormat="1" applyAlignment="1">
      <alignment horizontal="left" indent="1"/>
    </xf>
    <xf numFmtId="168" fontId="7" fillId="0" borderId="0" xfId="0" applyNumberFormat="1" applyFont="1" applyAlignment="1" applyProtection="1">
      <alignment horizontal="left" indent="1"/>
      <protection locked="0"/>
    </xf>
    <xf numFmtId="49" fontId="7" fillId="0" borderId="0" xfId="0" applyNumberFormat="1" applyFont="1" applyAlignment="1" applyProtection="1">
      <alignment horizontal="left" indent="1"/>
      <protection locked="0"/>
    </xf>
    <xf numFmtId="0" fontId="3" fillId="2" borderId="1" xfId="0" applyNumberFormat="1" applyFont="1" applyFill="1" applyBorder="1" applyAlignment="1">
      <alignment horizontal="left" vertical="top" wrapText="1" indent="1"/>
    </xf>
    <xf numFmtId="49" fontId="3" fillId="2" borderId="1" xfId="0" applyNumberFormat="1" applyFont="1" applyFill="1" applyBorder="1" applyAlignment="1">
      <alignment horizontal="left" vertical="top" wrapText="1" indent="1"/>
    </xf>
  </cellXfs>
  <cellStyles count="4">
    <cellStyle name="Гиперссылка" xfId="2" builtinId="8"/>
    <cellStyle name="Обычный" xfId="0" builtinId="0"/>
    <cellStyle name="Процентный" xfId="3" builtinId="5"/>
    <cellStyle name="Финансовый" xfId="1" builtinId="3"/>
  </cellStyles>
  <dxfs count="102"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8" formatCode="[&lt;=9999999]###\-####;\(###\)\ ###\-####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7" formatCode="dd/mm/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7" formatCode="dd/mm/yy;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7" formatCode="dd/mm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0" formatCode="General"/>
      <alignment horizontal="right" textRotation="0" indent="1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charset val="204"/>
        <scheme val="major"/>
      </font>
      <numFmt numFmtId="164" formatCode="_-* #,##0_-;\-* #,##0_-;_-* &quot;-&quot;??_-;_-@_-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  <numFmt numFmtId="166" formatCode="_-* #,##0\ _₽_-;\-* #,##0\ _₽_-;_-* &quot;-&quot;??\ _₽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6" formatCode="_-* #,##0\ _₽_-;\-* #,##0\ _₽_-;_-* &quot;-&quot;??\ _₽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9" formatCode="dd/mm/yyyy"/>
      <alignment horizont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9" formatCode="dd/mm/yyyy"/>
      <alignment horizont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 Light"/>
        <family val="2"/>
        <charset val="204"/>
        <scheme val="major"/>
      </font>
      <numFmt numFmtId="165" formatCode="_-* #,##0.00\ _₽_-;\-* #,##0.00\ _₽_-;_-* &quot;-&quot;??\ _₽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5" formatCode="_-* #,##0.00\ _₽_-;\-* #,##0.00\ _₽_-;_-* &quot;-&quot;??\ _₽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4" formatCode="_-* #,##0_-;\-* #,##0_-;_-* &quot;-&quot;??_-;_-@_-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" formatCode="0"/>
      <alignment horizontal="left" vertical="bottom" textRotation="0" wrapText="0" relativeIndent="-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" formatCode="0"/>
      <alignment horizontal="left" vertical="bottom" textRotation="0" wrapText="0" relativeIndent="-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7" formatCode="dd/mm/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" formatCode="0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7" formatCode="dd/mm/yy;@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7" formatCode="dd/mm/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167" formatCode="dd/mm/yy;@"/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30" formatCode="@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0" formatCode="General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numFmt numFmtId="0" formatCode="General"/>
      <alignment horizontal="right" vertical="bottom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 Light"/>
        <family val="2"/>
        <charset val="204"/>
        <scheme val="major"/>
      </font>
      <alignment horizontal="righ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30" formatCode="@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168" formatCode="[&lt;=9999999]###\-####;\(###\)\ ###\-####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164" formatCode="_-* #,##0_-;\-* #,##0_-;_-* &quot;-&quot;??_-;_-@_-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164" formatCode="_-* #,##0_-;\-* #,##0_-;_-* &quot;-&quot;??_-;_-@_-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35" formatCode="_-* #,##0.00_-;\-* #,##0.00_-;_-* &quot;-&quot;??_-;_-@_-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164" formatCode="_-* #,##0_-;\-* #,##0_-;_-* &quot;-&quot;??_-;_-@_-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numFmt numFmtId="19" formatCode="dd/mm/yyyy"/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alignment horizontal="right" textRotation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 Light"/>
        <family val="2"/>
        <charset val="204"/>
        <scheme val="major"/>
      </font>
      <alignment horizontal="right" textRotation="0" indent="1" justifyLastLine="0" shrinkToFit="0" readingOrder="0"/>
      <protection locked="0" hidden="0"/>
    </dxf>
    <dxf>
      <protection locked="0" hidden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charset val="204"/>
        <scheme val="major"/>
      </font>
      <numFmt numFmtId="0" formatCode="General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charset val="204"/>
        <scheme val="maj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1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8" formatCode="[&lt;=9999999]###\-####;\(###\)\ ###\-####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7" formatCode="dd/mm/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7" formatCode="dd/mm/yy;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167" formatCode="dd/mm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0" formatCode="General"/>
      <alignment horizontal="right" textRotation="0" indent="1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Calibri Light"/>
        <family val="2"/>
        <charset val="204"/>
        <scheme val="none"/>
      </font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0" formatCode="General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164" formatCode="_-* #,##0_-;\-* #,##0_-;_-* &quot;-&quot;??_-;_-@_-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164" formatCode="_-* #,##0_-;\-* #,##0_-;_-* &quot;-&quot;??_-;_-@_-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0" formatCode="General"/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26" formatCode="h:mm:ss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numFmt numFmtId="164" formatCode="_-* #,##0_-;\-* #,##0_-;_-* &quot;-&quot;??_-;_-@_-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 Light"/>
        <family val="2"/>
        <charset val="204"/>
        <scheme val="major"/>
      </font>
      <alignment horizontal="lef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204"/>
        <scheme val="maj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1" 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51B7A-48E0-4984-BD96-68BB6924E5B8}" name="Участки" displayName="Участки" ref="A1:I228" headerRowDxfId="101" dataDxfId="99" headerRowBorderDxfId="100" tableBorderDxfId="98">
  <autoFilter ref="A1:I228" xr:uid="{2388DF11-AC4B-417D-B9E0-3E4DFA18F551}"/>
  <tableColumns count="9">
    <tableColumn id="1" xr3:uid="{E87DD02D-904C-4AD3-84AC-3A2F7F585C43}" name="Номер участка" totalsRowLabel="Итог" dataDxfId="97" totalsRowDxfId="96" dataCellStyle="Финансовый">
      <calculatedColumnFormula>A1+1</calculatedColumnFormula>
    </tableColumn>
    <tableColumn id="3" xr3:uid="{E2CB0B12-F73F-4A2D-8681-2674E832B48C}" name="КН 1" dataDxfId="95" totalsRowDxfId="94"/>
    <tableColumn id="4" xr3:uid="{AD779EEB-6CB9-428A-A6DD-85641CB2A2DD}" name="КН 2" dataDxfId="93" totalsRowDxfId="92"/>
    <tableColumn id="10" xr3:uid="{5CCD237E-F75B-4F42-8F9C-287BA2A0BD0D}" name="Площадь" dataDxfId="91" totalsRowDxfId="90" dataCellStyle="Финансовый"/>
    <tableColumn id="5" xr3:uid="{99C80184-D5E9-4EFC-916B-1F5BED83A7CB}" name="Статус" dataDxfId="89" totalsRowDxfId="88"/>
    <tableColumn id="6" xr3:uid="{6A613109-6D74-4F50-81C5-3A147D6C0D06}" name="Собственник" dataDxfId="87" totalsRowDxfId="86"/>
    <tableColumn id="9" xr3:uid="{062C3D7E-2F60-4FD8-B9B5-EC57BB223254}" name="Цена базовая" totalsRowFunction="sum" dataDxfId="85" totalsRowDxfId="84" dataCellStyle="Финансовый">
      <calculatedColumnFormula>Участки[[#This Row],[Площадь]]*Цена!$C$1/100</calculatedColumnFormula>
    </tableColumn>
    <tableColumn id="7" xr3:uid="{D73522CD-D15C-4DD6-8244-192A566F70A4}" name="УНП" dataDxfId="17" totalsRowDxfId="83" dataCellStyle="Финансовый">
      <calculatedColumnFormula>VLOOKUP(Участки[[#This Row],[Номер участка]],Договоры7[#All],2,FALSE)</calculatedColumnFormula>
    </tableColumn>
    <tableColumn id="8" xr3:uid="{94D69A74-FE56-4F8A-AE0A-3E4C54815472}" name="ФИО Покупателя" dataDxfId="82" totalsRowDxfId="81">
      <calculatedColumnFormula>IF(ISNUMBER(Участки[[#This Row],[УНП]]),VLOOKUP(Участки[[#This Row],[УНП]],Покупатели[[УНП]:[ФИО Покупателя]],2,FALSE),"")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DE9495-9B89-4C16-A634-86F1D8499FD2}" name="Покупатели" displayName="Покупатели" ref="A1:M11" totalsRowShown="0" headerRowDxfId="16" dataDxfId="15" headerRowBorderDxfId="13" tableBorderDxfId="14">
  <autoFilter ref="A1:M11" xr:uid="{FF1B17A4-95CB-435D-BE2A-67197CA733E8}"/>
  <tableColumns count="13">
    <tableColumn id="1" xr3:uid="{1137DEA0-E170-416B-8113-ADBA545B6DA1}" name="УНП" dataDxfId="12">
      <calculatedColumnFormula>ROW(Покупатели[[#This Row],[ФИО Покупателя]])-1</calculatedColumnFormula>
    </tableColumn>
    <tableColumn id="2" xr3:uid="{7778A62F-484D-4CAC-A745-19856DCE5091}" name="ФИО Покупателя" dataDxfId="11"/>
    <tableColumn id="13" xr3:uid="{7319D0AE-4B9E-407B-98D9-98B10B519EF5}" name="Гражданство" dataDxfId="10"/>
    <tableColumn id="3" xr3:uid="{3D0E8E91-210F-4249-A7B6-3B4BA256D87B}" name="Дата рождения Покупателя" dataDxfId="9"/>
    <tableColumn id="12" xr3:uid="{D76DBC05-09EF-4EDE-9E5F-BD5770A2272E}" name="Место рождения" dataDxfId="8"/>
    <tableColumn id="4" xr3:uid="{52538171-66BA-4371-869C-725F624F4C87}" name="Серия паспорта" dataDxfId="7"/>
    <tableColumn id="5" xr3:uid="{93E56678-BA4F-4756-BE75-7F6DCAC40396}" name="Номер Паспорта" dataDxfId="6"/>
    <tableColumn id="6" xr3:uid="{9B1BF349-2FE5-4DD8-939E-C27934899589}" name="Дата выдачи паспорта" dataDxfId="5"/>
    <tableColumn id="7" xr3:uid="{345F179B-B4BE-4A95-AB8B-5740177A18AF}" name="Кем выдан" dataDxfId="4"/>
    <tableColumn id="8" xr3:uid="{2A791115-0F36-4CA9-8394-432E42D9E31A}" name="КП" dataDxfId="3"/>
    <tableColumn id="9" xr3:uid="{47DD5B01-AB0C-43CE-BE87-4BD33CC4FA2D}" name="Прописка" dataDxfId="2"/>
    <tableColumn id="10" xr3:uid="{97C254EA-F9C0-437C-9E57-B225A695646C}" name="Телефон Покупателя" dataDxfId="1"/>
    <tableColumn id="11" xr3:uid="{8F557F7B-70B6-4E58-B461-F820ED3E83BB}" name="e-mail Покупателя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B07334-079F-4E31-9E5D-A3EB79217312}" name="Покупатели8" displayName="Покупатели8" ref="A1:M2" totalsRowShown="0" headerRowDxfId="80" dataDxfId="78" headerRowBorderDxfId="79" tableBorderDxfId="77">
  <autoFilter ref="A1:M2" xr:uid="{FF1B17A4-95CB-435D-BE2A-67197CA733E8}"/>
  <tableColumns count="13">
    <tableColumn id="1" xr3:uid="{46058469-DD4F-4830-AAC4-D0814754912F}" name="УНП" dataDxfId="76">
      <calculatedColumnFormula>ROW(Покупатели8[[#This Row],[ФИО Покупателя]])-1</calculatedColumnFormula>
    </tableColumn>
    <tableColumn id="2" xr3:uid="{E04885E9-19E0-4789-B2F4-740655916841}" name="ФИО Покупателя" dataDxfId="75"/>
    <tableColumn id="13" xr3:uid="{27D3489E-E5D0-44E0-BA4F-E76F3C02A411}" name="Гражданство" dataDxfId="74"/>
    <tableColumn id="3" xr3:uid="{D85A9812-D21C-4B49-8B3A-DF941DFB3859}" name="Дата рождения Покупателя" dataDxfId="73"/>
    <tableColumn id="12" xr3:uid="{A6CA4962-E9FB-4BD3-9A27-FD9580BA6AB7}" name="Место рождения" dataDxfId="72"/>
    <tableColumn id="4" xr3:uid="{BB8054B6-2093-49AE-9C33-0B1711BC483C}" name="Серия паспорта" dataDxfId="71"/>
    <tableColumn id="5" xr3:uid="{4D3C8490-9613-4311-A647-FD026AA2377B}" name="Номер Паспорта" dataDxfId="70"/>
    <tableColumn id="6" xr3:uid="{62FD8779-B271-4173-BA07-2EBD94384F36}" name="Дата выдачи паспорта" dataDxfId="69"/>
    <tableColumn id="7" xr3:uid="{5620AC91-A9B7-4CC7-8A40-3EF38211A9B4}" name="Кем выдан" dataDxfId="68"/>
    <tableColumn id="8" xr3:uid="{23B02994-4C4E-4D33-B169-1438A8E96623}" name="КП" dataDxfId="67"/>
    <tableColumn id="9" xr3:uid="{A7292FAC-13D0-4C29-B23B-4EEC515C362D}" name="Прописка" dataDxfId="66"/>
    <tableColumn id="10" xr3:uid="{C63CEA55-B460-4D70-89CC-498FBDF24442}" name="Телефон Покупателя" dataDxfId="65"/>
    <tableColumn id="11" xr3:uid="{82721FCD-0C43-46CF-AB7E-C456EF9A26C8}" name="e-mail Покупателя" dataDxfId="64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AD9342-CB19-405C-8A9E-1105E6A6BACF}" name="Договоры7" displayName="Договоры7" ref="A1:AF16" headerRowDxfId="63" dataDxfId="61" totalsRowDxfId="59" headerRowBorderDxfId="62" tableBorderDxfId="60">
  <autoFilter ref="A1:AF16" xr:uid="{1F0E869F-DDE5-459A-81E6-48034EDEDCAD}"/>
  <tableColumns count="32">
    <tableColumn id="1" xr3:uid="{7B9F9566-68AB-4BA1-AAC2-B8ADD2DD3A21}" name="Номер участка" totalsRowLabel="Итог" dataDxfId="58" totalsRowDxfId="57"/>
    <tableColumn id="2" xr3:uid="{067AE220-71CC-4428-9F0E-8C27AD5100FB}" name="УНП" dataDxfId="56"/>
    <tableColumn id="57" xr3:uid="{9E716E1E-E5C8-428C-B771-ACD39AD1E1C3}" name="Дата договора" dataDxfId="55"/>
    <tableColumn id="58" xr3:uid="{475122E3-FD1C-4B36-93FC-9BFDC74BC9FA}" name="Стоимость по договору" dataDxfId="54" dataCellStyle="Финансовый"/>
    <tableColumn id="59" xr3:uid="{671905FB-D865-4749-9769-E69BC55F0776}" name="Рассрочка" dataDxfId="53" dataCellStyle="Финансовый"/>
    <tableColumn id="60" xr3:uid="{E50FFD64-8076-444D-8C17-F7436ACCF0E0}" name="Сумма аванса" dataDxfId="52" dataCellStyle="Финансовый">
      <calculatedColumnFormula>Договоры7[[#This Row],[Стоимость по договору]]</calculatedColumnFormula>
    </tableColumn>
    <tableColumn id="61" xr3:uid="{41B6862E-DA16-4E9C-9A3C-0EFCD05251EB}" name="Срок рассрочки (мес)" dataDxfId="51" dataCellStyle="Финансовый"/>
    <tableColumn id="62" xr3:uid="{BB9B286F-E7D1-4785-BDBD-ED0A0CD0008B}" name="Ставка" dataDxfId="50" dataCellStyle="Процентный"/>
    <tableColumn id="63" xr3:uid="{9CC71A76-C9BE-4D63-B99F-0E8D24A74E9C}" name="Телефон Покупателя" dataDxfId="49" dataCellStyle="Процентный">
      <calculatedColumnFormula>VLOOKUP(Договоры7[[#This Row],[УНП]],Покупатели[#All],12)</calculatedColumnFormula>
    </tableColumn>
    <tableColumn id="64" xr3:uid="{D53D3908-5102-4719-8A17-C31214A5814C}" name="e-mail Покупателя" dataDxfId="48" dataCellStyle="Процентный">
      <calculatedColumnFormula>VLOOKUP(Договоры7[[#This Row],[УНП]],Покупатели[#All],13)</calculatedColumnFormula>
    </tableColumn>
    <tableColumn id="37" xr3:uid="{4F5452A7-3564-480C-8B55-9389DFF5DCBC}" name="КН" dataDxfId="47">
      <calculatedColumnFormula>VLOOKUP(A2,Участки[],3)</calculatedColumnFormula>
    </tableColumn>
    <tableColumn id="67" xr3:uid="{4250C02F-C8DF-4247-AE07-50EDD1D2551D}" name="Площадь" dataDxfId="46">
      <calculatedColumnFormula>VLOOKUP(A2,Участки[],4)</calculatedColumnFormula>
    </tableColumn>
    <tableColumn id="66" xr3:uid="{EF7AA62E-BDBF-482F-96DF-209878A1FDF2}" name="Номер договора" dataDxfId="45">
      <calculatedColumnFormula>_xlfn.CONCAT(Договоры7[[#This Row],[КН]],"/",TEXT(Договоры7[[#This Row],[УНП]],"000"))</calculatedColumnFormula>
    </tableColumn>
    <tableColumn id="18" xr3:uid="{BBF2EC77-D9C7-4810-AB2F-274251C47758}" name="Покупатель" dataDxfId="44">
      <calculatedColumnFormula>VLOOKUP(Договоры7[[#This Row],[УНП]],Покупатели[[УНП]:[ФИО Покупателя]],2)</calculatedColumnFormula>
    </tableColumn>
    <tableColumn id="31" xr3:uid="{199DF127-D874-4A12-9174-C78D7DE68F20}" name="Гражданство" dataDxfId="43">
      <calculatedColumnFormula>VLOOKUP(Договоры7[[#This Row],[УНП]],Покупатели[#All],3)</calculatedColumnFormula>
    </tableColumn>
    <tableColumn id="20" xr3:uid="{5717B947-7DEC-459F-8E56-D6AA13B86831}" name="Дата рождения Покупателя" dataDxfId="42">
      <calculatedColumnFormula>VLOOKUP(Договоры7[[#This Row],[УНП]],Покупатели[#All],4)</calculatedColumnFormula>
    </tableColumn>
    <tableColumn id="29" xr3:uid="{C543BD24-43FB-4E56-9F67-DD9B227B44B2}" name="Место рождения" dataDxfId="41">
      <calculatedColumnFormula>VLOOKUP(Договоры7[[#This Row],[УНП]],Покупатели[#All],5)</calculatedColumnFormula>
    </tableColumn>
    <tableColumn id="21" xr3:uid="{06BF6A0D-C53F-4EE0-883C-B4C39026935C}" name="Серия паспорта" dataDxfId="40">
      <calculatedColumnFormula>VLOOKUP(Договоры7[[#This Row],[УНП]],Покупатели[#All],6)</calculatedColumnFormula>
    </tableColumn>
    <tableColumn id="22" xr3:uid="{80643856-5238-4A65-BEB2-20295563681D}" name="Номер Паспорта" dataDxfId="39">
      <calculatedColumnFormula>VLOOKUP(Договоры7[[#This Row],[УНП]],Покупатели[#All],7)</calculatedColumnFormula>
    </tableColumn>
    <tableColumn id="23" xr3:uid="{E0737B4C-A011-41E4-BDBF-2888D0812530}" name="Дата выдачи паспорта" dataDxfId="38">
      <calculatedColumnFormula>VLOOKUP(Договоры7[[#This Row],[УНП]],Покупатели[#All],8)</calculatedColumnFormula>
    </tableColumn>
    <tableColumn id="24" xr3:uid="{9417E947-576F-475F-A3D7-F3ED6D877BDB}" name="Кем выдан" dataDxfId="37">
      <calculatedColumnFormula>VLOOKUP(Договоры7[[#This Row],[УНП]],Покупатели[#All],9)</calculatedColumnFormula>
    </tableColumn>
    <tableColumn id="25" xr3:uid="{355B61A5-B8E5-4723-A070-F1865BD8E0E9}" name="КП" dataDxfId="36">
      <calculatedColumnFormula>VLOOKUP(Договоры7[[#This Row],[УНП]],Покупатели[#All],10)</calculatedColumnFormula>
    </tableColumn>
    <tableColumn id="26" xr3:uid="{0487F2F4-193C-45AC-9865-68180E2EE5E7}" name="Прописка" dataDxfId="35">
      <calculatedColumnFormula>VLOOKUP(Договоры7[[#This Row],[УНП]],Покупатели[#All],11)</calculatedColumnFormula>
    </tableColumn>
    <tableColumn id="14" xr3:uid="{5F032739-EE37-4F9D-89B7-15010C81AD2E}" name="Цена по договору (за 100 кв.м.)" dataDxfId="34" totalsRowDxfId="33" dataCellStyle="Финансовый">
      <calculatedColumnFormula>Договоры7[[#This Row],[Стоимость по договору]]/Договоры7[[#This Row],[Площадь]]</calculatedColumnFormula>
    </tableColumn>
    <tableColumn id="7" xr3:uid="{90F2EDBA-7E02-4EB1-BEFE-A39EF0DB4460}" name="Сумма ежемес. платежа" totalsRowFunction="sum" dataDxfId="32" totalsRowDxfId="31" dataCellStyle="Финансовый">
      <calculatedColumnFormula>ROUND(-PMT(#REF!/12,#REF!,#REF!-#REF!),2)</calculatedColumnFormula>
    </tableColumn>
    <tableColumn id="8" xr3:uid="{D04E18A5-C58C-4EC7-B0CD-58148C42A6AF}" name="Дата первого платежа" dataDxfId="30" totalsRowDxfId="29">
      <calculatedColumnFormula>EOMONTH(Договоры7[[#This Row],[Дата договора]],1)+1</calculatedColumnFormula>
    </tableColumn>
    <tableColumn id="9" xr3:uid="{B2087A60-4653-4C66-8857-6D16F45CD1B6}" name="Дата последнего платежа" dataDxfId="28" totalsRowDxfId="27">
      <calculatedColumnFormula>EDATE(Z2,G2-1)</calculatedColumnFormula>
    </tableColumn>
    <tableColumn id="10" xr3:uid="{3B503AA4-29B4-4424-A059-C4688505C0A9}" name="Сумма договора прописью " dataDxfId="26">
      <calculatedColumnFormula>суммапрописью(Договоры7[[#This Row],[Стоимость по договору]])</calculatedColumnFormula>
    </tableColumn>
    <tableColumn id="11" xr3:uid="{89F78CED-E637-430B-BDD5-013ED01D6F49}" name="Сумма аванса прописью" dataDxfId="25" totalsRowDxfId="24">
      <calculatedColumnFormula>суммапрописью(F2)</calculatedColumnFormula>
    </tableColumn>
    <tableColumn id="12" xr3:uid="{54BC07EA-244B-46F5-983F-FA628DE0881A}" name="Сумма ежемес. платежа прописью" dataDxfId="23" totalsRowDxfId="22">
      <calculatedColumnFormula>суммапрописью(Y2)</calculatedColumnFormula>
    </tableColumn>
    <tableColumn id="32" xr3:uid="{2262BDE3-9E1E-4633-93A7-37798D239C44}" name="КП 2" dataDxfId="21" totalsRowDxfId="20">
      <calculatedColumnFormula>IF(Договоры7[[#This Row],[Гражданство]]="РФ",CONCATENATE("код подразделения: ",Договоры7[[#This Row],[КП]],","),"")</calculatedColumnFormula>
    </tableColumn>
    <tableColumn id="13" xr3:uid="{B7997797-1F7A-4C21-9124-25575EF08C1C}" name="Копейки" totalsRowFunction="sum" dataDxfId="19" totalsRowDxfId="18">
      <calculatedColumnFormula>INT((Y2-ROUNDDOWN(Y2,0))*100)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60622-397A-45A8-83F7-7E1020B37C07}">
  <sheetPr codeName="Лист6">
    <pageSetUpPr fitToPage="1"/>
  </sheetPr>
  <dimension ref="A1:L228"/>
  <sheetViews>
    <sheetView tabSelected="1" zoomScale="85" zoomScaleNormal="85" workbookViewId="0">
      <pane ySplit="1" topLeftCell="A38" activePane="bottomLeft" state="frozen"/>
      <selection pane="bottomLeft" activeCell="N47" sqref="N47"/>
    </sheetView>
  </sheetViews>
  <sheetFormatPr defaultColWidth="8.88671875" defaultRowHeight="14.4" x14ac:dyDescent="0.3"/>
  <cols>
    <col min="1" max="1" width="12.5546875" style="2" bestFit="1" customWidth="1"/>
    <col min="2" max="2" width="15.5546875" style="5" bestFit="1" customWidth="1"/>
    <col min="3" max="3" width="7.33203125" style="6" customWidth="1"/>
    <col min="4" max="4" width="13.109375" style="34" customWidth="1"/>
    <col min="5" max="5" width="17.109375" style="4" customWidth="1"/>
    <col min="6" max="6" width="16.6640625" style="4" customWidth="1"/>
    <col min="7" max="7" width="14" style="36" customWidth="1"/>
    <col min="8" max="8" width="11.44140625" style="8" bestFit="1" customWidth="1"/>
    <col min="9" max="9" width="33" style="4" customWidth="1"/>
    <col min="10" max="16384" width="8.88671875" style="1"/>
  </cols>
  <sheetData>
    <row r="1" spans="1:12" s="3" customFormat="1" ht="48.6" customHeight="1" x14ac:dyDescent="0.3">
      <c r="A1" s="26" t="s">
        <v>0</v>
      </c>
      <c r="B1" s="27" t="s">
        <v>40</v>
      </c>
      <c r="C1" s="27" t="s">
        <v>41</v>
      </c>
      <c r="D1" s="31" t="s">
        <v>1</v>
      </c>
      <c r="E1" s="19" t="s">
        <v>9</v>
      </c>
      <c r="F1" s="19" t="s">
        <v>2</v>
      </c>
      <c r="G1" s="19" t="s">
        <v>38</v>
      </c>
      <c r="H1" s="41" t="s">
        <v>36</v>
      </c>
      <c r="I1" s="19" t="s">
        <v>14</v>
      </c>
    </row>
    <row r="2" spans="1:12" s="10" customFormat="1" x14ac:dyDescent="0.3">
      <c r="A2" s="9">
        <v>1</v>
      </c>
      <c r="B2" s="11" t="s">
        <v>7</v>
      </c>
      <c r="C2" s="12">
        <v>1169</v>
      </c>
      <c r="D2" s="32">
        <v>1214</v>
      </c>
      <c r="E2" s="13" t="s">
        <v>12</v>
      </c>
      <c r="F2" s="13" t="s">
        <v>3</v>
      </c>
      <c r="G2" s="35">
        <f>Участки[[#This Row],[Площадь]]*Цена!$C$1/100</f>
        <v>1699600</v>
      </c>
      <c r="H2" s="40" t="e">
        <f>VLOOKUP(Участки[[#This Row],[Номер участка]],Договоры7[#All],2,FALSE)</f>
        <v>#N/A</v>
      </c>
      <c r="I2" s="13" t="str">
        <f>IF(ISNUMBER(Участки[[#This Row],[УНП]]),VLOOKUP(Участки[[#This Row],[УНП]],Покупатели[[УНП]:[ФИО Покупателя]],2,FALSE),"")</f>
        <v/>
      </c>
    </row>
    <row r="3" spans="1:12" s="10" customFormat="1" x14ac:dyDescent="0.3">
      <c r="A3" s="9">
        <f>A2+1</f>
        <v>2</v>
      </c>
      <c r="B3" s="11" t="s">
        <v>7</v>
      </c>
      <c r="C3" s="12">
        <v>1148</v>
      </c>
      <c r="D3" s="32">
        <v>811</v>
      </c>
      <c r="E3" s="13" t="s">
        <v>12</v>
      </c>
      <c r="F3" s="13" t="s">
        <v>3</v>
      </c>
      <c r="G3" s="35">
        <f>Участки[[#This Row],[Площадь]]*Цена!$C$1/100</f>
        <v>1135400</v>
      </c>
      <c r="H3" s="40" t="e">
        <f>VLOOKUP(Участки[[#This Row],[Номер участка]],Договоры7[#All],2,FALSE)</f>
        <v>#N/A</v>
      </c>
      <c r="I3" s="13" t="str">
        <f>IF(ISNUMBER(Участки[[#This Row],[УНП]]),VLOOKUP(Участки[[#This Row],[УНП]],Покупатели[[УНП]:[ФИО Покупателя]],2,FALSE),"")</f>
        <v/>
      </c>
      <c r="J3" s="13"/>
      <c r="K3" s="13"/>
      <c r="L3" s="13"/>
    </row>
    <row r="4" spans="1:12" s="10" customFormat="1" x14ac:dyDescent="0.3">
      <c r="A4" s="9">
        <f t="shared" ref="A4:A67" si="0">A3+1</f>
        <v>3</v>
      </c>
      <c r="B4" s="11" t="s">
        <v>7</v>
      </c>
      <c r="C4" s="12">
        <v>1150</v>
      </c>
      <c r="D4" s="32">
        <v>837</v>
      </c>
      <c r="E4" s="13" t="s">
        <v>12</v>
      </c>
      <c r="F4" s="13" t="s">
        <v>3</v>
      </c>
      <c r="G4" s="35">
        <f>Участки[[#This Row],[Площадь]]*Цена!$C$1/100</f>
        <v>1171800</v>
      </c>
      <c r="H4" s="40" t="e">
        <f>VLOOKUP(Участки[[#This Row],[Номер участка]],Договоры7[#All],2,FALSE)</f>
        <v>#N/A</v>
      </c>
      <c r="I4" s="13" t="str">
        <f>IF(ISNUMBER(Участки[[#This Row],[УНП]]),VLOOKUP(Участки[[#This Row],[УНП]],Покупатели[[УНП]:[ФИО Покупателя]],2,FALSE),"")</f>
        <v/>
      </c>
    </row>
    <row r="5" spans="1:12" s="10" customFormat="1" x14ac:dyDescent="0.3">
      <c r="A5" s="9">
        <f t="shared" si="0"/>
        <v>4</v>
      </c>
      <c r="B5" s="11" t="s">
        <v>7</v>
      </c>
      <c r="C5" s="12">
        <v>1151</v>
      </c>
      <c r="D5" s="32">
        <v>862</v>
      </c>
      <c r="E5" s="13" t="s">
        <v>12</v>
      </c>
      <c r="F5" s="13" t="s">
        <v>3</v>
      </c>
      <c r="G5" s="35">
        <f>Участки[[#This Row],[Площадь]]*Цена!$C$1/100</f>
        <v>1206800</v>
      </c>
      <c r="H5" s="40" t="e">
        <f>VLOOKUP(Участки[[#This Row],[Номер участка]],Договоры7[#All],2,FALSE)</f>
        <v>#N/A</v>
      </c>
      <c r="I5" s="13" t="str">
        <f>IF(ISNUMBER(Участки[[#This Row],[УНП]]),VLOOKUP(Участки[[#This Row],[УНП]],Покупатели[[УНП]:[ФИО Покупателя]],2,FALSE),"")</f>
        <v/>
      </c>
    </row>
    <row r="6" spans="1:12" s="10" customFormat="1" x14ac:dyDescent="0.3">
      <c r="A6" s="9">
        <f t="shared" si="0"/>
        <v>5</v>
      </c>
      <c r="B6" s="11" t="s">
        <v>7</v>
      </c>
      <c r="C6" s="12">
        <v>1152</v>
      </c>
      <c r="D6" s="32">
        <v>888</v>
      </c>
      <c r="E6" s="13" t="s">
        <v>12</v>
      </c>
      <c r="F6" s="13" t="s">
        <v>3</v>
      </c>
      <c r="G6" s="35">
        <f>Участки[[#This Row],[Площадь]]*Цена!$C$1/100</f>
        <v>1243200</v>
      </c>
      <c r="H6" s="40" t="e">
        <f>VLOOKUP(Участки[[#This Row],[Номер участка]],Договоры7[#All],2,FALSE)</f>
        <v>#N/A</v>
      </c>
      <c r="I6" s="13" t="str">
        <f>IF(ISNUMBER(Участки[[#This Row],[УНП]]),VLOOKUP(Участки[[#This Row],[УНП]],Покупатели[[УНП]:[ФИО Покупателя]],2,FALSE),"")</f>
        <v/>
      </c>
    </row>
    <row r="7" spans="1:12" s="10" customFormat="1" x14ac:dyDescent="0.3">
      <c r="A7" s="9">
        <f t="shared" si="0"/>
        <v>6</v>
      </c>
      <c r="B7" s="11" t="s">
        <v>7</v>
      </c>
      <c r="C7" s="12">
        <v>1153</v>
      </c>
      <c r="D7" s="32">
        <v>913</v>
      </c>
      <c r="E7" s="13" t="s">
        <v>12</v>
      </c>
      <c r="F7" s="13" t="s">
        <v>3</v>
      </c>
      <c r="G7" s="35">
        <f>Участки[[#This Row],[Площадь]]*Цена!$C$1/100</f>
        <v>1278200</v>
      </c>
      <c r="H7" s="40" t="e">
        <f>VLOOKUP(Участки[[#This Row],[Номер участка]],Договоры7[#All],2,FALSE)</f>
        <v>#N/A</v>
      </c>
      <c r="I7" s="13" t="str">
        <f>IF(ISNUMBER(Участки[[#This Row],[УНП]]),VLOOKUP(Участки[[#This Row],[УНП]],Покупатели[[УНП]:[ФИО Покупателя]],2,FALSE),"")</f>
        <v/>
      </c>
    </row>
    <row r="8" spans="1:12" s="10" customFormat="1" x14ac:dyDescent="0.3">
      <c r="A8" s="9">
        <f t="shared" si="0"/>
        <v>7</v>
      </c>
      <c r="B8" s="11" t="s">
        <v>7</v>
      </c>
      <c r="C8" s="12">
        <v>1154</v>
      </c>
      <c r="D8" s="32">
        <v>938</v>
      </c>
      <c r="E8" s="13" t="s">
        <v>12</v>
      </c>
      <c r="F8" s="13" t="s">
        <v>3</v>
      </c>
      <c r="G8" s="35">
        <f>Участки[[#This Row],[Площадь]]*Цена!$C$1/100</f>
        <v>1313200</v>
      </c>
      <c r="H8" s="40" t="e">
        <f>VLOOKUP(Участки[[#This Row],[Номер участка]],Договоры7[#All],2,FALSE)</f>
        <v>#N/A</v>
      </c>
      <c r="I8" s="13" t="str">
        <f>IF(ISNUMBER(Участки[[#This Row],[УНП]]),VLOOKUP(Участки[[#This Row],[УНП]],Покупатели[[УНП]:[ФИО Покупателя]],2,FALSE),"")</f>
        <v/>
      </c>
    </row>
    <row r="9" spans="1:12" s="10" customFormat="1" ht="15" customHeight="1" x14ac:dyDescent="0.3">
      <c r="A9" s="9">
        <f t="shared" si="0"/>
        <v>8</v>
      </c>
      <c r="B9" s="11" t="s">
        <v>7</v>
      </c>
      <c r="C9" s="12">
        <v>1155</v>
      </c>
      <c r="D9" s="32">
        <v>964</v>
      </c>
      <c r="E9" s="13" t="s">
        <v>12</v>
      </c>
      <c r="F9" s="13" t="s">
        <v>3</v>
      </c>
      <c r="G9" s="35">
        <f>Участки[[#This Row],[Площадь]]*Цена!$C$1/100</f>
        <v>1349600</v>
      </c>
      <c r="H9" s="40" t="e">
        <f>VLOOKUP(Участки[[#This Row],[Номер участка]],Договоры7[#All],2,FALSE)</f>
        <v>#N/A</v>
      </c>
      <c r="I9" s="13" t="str">
        <f>IF(ISNUMBER(Участки[[#This Row],[УНП]]),VLOOKUP(Участки[[#This Row],[УНП]],Покупатели[[УНП]:[ФИО Покупателя]],2,FALSE),"")</f>
        <v/>
      </c>
    </row>
    <row r="10" spans="1:12" s="10" customFormat="1" x14ac:dyDescent="0.3">
      <c r="A10" s="9">
        <f t="shared" si="0"/>
        <v>9</v>
      </c>
      <c r="B10" s="11" t="s">
        <v>7</v>
      </c>
      <c r="C10" s="12">
        <v>1156</v>
      </c>
      <c r="D10" s="32">
        <v>989</v>
      </c>
      <c r="E10" s="13" t="s">
        <v>12</v>
      </c>
      <c r="F10" s="13" t="s">
        <v>3</v>
      </c>
      <c r="G10" s="35">
        <f>Участки[[#This Row],[Площадь]]*Цена!$C$1/100</f>
        <v>1384600</v>
      </c>
      <c r="H10" s="40" t="e">
        <f>VLOOKUP(Участки[[#This Row],[Номер участка]],Договоры7[#All],2,FALSE)</f>
        <v>#N/A</v>
      </c>
      <c r="I10" s="13" t="str">
        <f>IF(ISNUMBER(Участки[[#This Row],[УНП]]),VLOOKUP(Участки[[#This Row],[УНП]],Покупатели[[УНП]:[ФИО Покупателя]],2,FALSE),"")</f>
        <v/>
      </c>
    </row>
    <row r="11" spans="1:12" s="10" customFormat="1" x14ac:dyDescent="0.3">
      <c r="A11" s="9">
        <f t="shared" si="0"/>
        <v>10</v>
      </c>
      <c r="B11" s="11" t="s">
        <v>7</v>
      </c>
      <c r="C11" s="12">
        <v>1157</v>
      </c>
      <c r="D11" s="32">
        <v>1420</v>
      </c>
      <c r="E11" s="13" t="s">
        <v>12</v>
      </c>
      <c r="F11" s="13" t="s">
        <v>3</v>
      </c>
      <c r="G11" s="35">
        <f>Участки[[#This Row],[Площадь]]*Цена!$C$1/100</f>
        <v>1988000</v>
      </c>
      <c r="H11" s="40" t="e">
        <f>VLOOKUP(Участки[[#This Row],[Номер участка]],Договоры7[#All],2,FALSE)</f>
        <v>#N/A</v>
      </c>
      <c r="I11" s="13" t="str">
        <f>IF(ISNUMBER(Участки[[#This Row],[УНП]]),VLOOKUP(Участки[[#This Row],[УНП]],Покупатели[[УНП]:[ФИО Покупателя]],2,FALSE),"")</f>
        <v/>
      </c>
    </row>
    <row r="12" spans="1:12" s="10" customFormat="1" x14ac:dyDescent="0.3">
      <c r="A12" s="9">
        <f t="shared" si="0"/>
        <v>11</v>
      </c>
      <c r="B12" s="11" t="s">
        <v>7</v>
      </c>
      <c r="C12" s="12">
        <v>1158</v>
      </c>
      <c r="D12" s="32">
        <v>900</v>
      </c>
      <c r="E12" s="13" t="s">
        <v>12</v>
      </c>
      <c r="F12" s="13" t="s">
        <v>3</v>
      </c>
      <c r="G12" s="35">
        <f>Участки[[#This Row],[Площадь]]*Цена!$C$1/100</f>
        <v>1260000</v>
      </c>
      <c r="H12" s="40" t="e">
        <f>VLOOKUP(Участки[[#This Row],[Номер участка]],Договоры7[#All],2,FALSE)</f>
        <v>#N/A</v>
      </c>
      <c r="I12" s="13" t="str">
        <f>IF(ISNUMBER(Участки[[#This Row],[УНП]]),VLOOKUP(Участки[[#This Row],[УНП]],Покупатели[[УНП]:[ФИО Покупателя]],2,FALSE),"")</f>
        <v/>
      </c>
    </row>
    <row r="13" spans="1:12" s="10" customFormat="1" x14ac:dyDescent="0.3">
      <c r="A13" s="9">
        <f t="shared" si="0"/>
        <v>12</v>
      </c>
      <c r="B13" s="11" t="s">
        <v>7</v>
      </c>
      <c r="C13" s="12">
        <v>1149</v>
      </c>
      <c r="D13" s="32">
        <v>945</v>
      </c>
      <c r="E13" s="13" t="s">
        <v>12</v>
      </c>
      <c r="F13" s="13" t="s">
        <v>3</v>
      </c>
      <c r="G13" s="35">
        <f>Участки[[#This Row],[Площадь]]*Цена!$C$1/100</f>
        <v>1323000</v>
      </c>
      <c r="H13" s="40" t="e">
        <f>VLOOKUP(Участки[[#This Row],[Номер участка]],Договоры7[#All],2,FALSE)</f>
        <v>#N/A</v>
      </c>
      <c r="I13" s="13" t="str">
        <f>IF(ISNUMBER(Участки[[#This Row],[УНП]]),VLOOKUP(Участки[[#This Row],[УНП]],Покупатели[[УНП]:[ФИО Покупателя]],2,FALSE),"")</f>
        <v/>
      </c>
    </row>
    <row r="14" spans="1:12" s="10" customFormat="1" x14ac:dyDescent="0.3">
      <c r="A14" s="9">
        <f t="shared" si="0"/>
        <v>13</v>
      </c>
      <c r="B14" s="11" t="s">
        <v>7</v>
      </c>
      <c r="C14" s="12">
        <v>1168</v>
      </c>
      <c r="D14" s="32">
        <v>880</v>
      </c>
      <c r="E14" s="13" t="s">
        <v>12</v>
      </c>
      <c r="F14" s="13" t="s">
        <v>3</v>
      </c>
      <c r="G14" s="35">
        <f>Участки[[#This Row],[Площадь]]*Цена!$C$1/100</f>
        <v>1232000</v>
      </c>
      <c r="H14" s="40" t="e">
        <f>VLOOKUP(Участки[[#This Row],[Номер участка]],Договоры7[#All],2,FALSE)</f>
        <v>#N/A</v>
      </c>
      <c r="I14" s="13" t="str">
        <f>IF(ISNUMBER(Участки[[#This Row],[УНП]]),VLOOKUP(Участки[[#This Row],[УНП]],Покупатели[[УНП]:[ФИО Покупателя]],2,FALSE),"")</f>
        <v/>
      </c>
    </row>
    <row r="15" spans="1:12" s="10" customFormat="1" x14ac:dyDescent="0.3">
      <c r="A15" s="9">
        <f t="shared" si="0"/>
        <v>14</v>
      </c>
      <c r="B15" s="11" t="s">
        <v>7</v>
      </c>
      <c r="C15" s="12">
        <v>1167</v>
      </c>
      <c r="D15" s="32">
        <v>880</v>
      </c>
      <c r="E15" s="13" t="s">
        <v>12</v>
      </c>
      <c r="F15" s="13" t="s">
        <v>3</v>
      </c>
      <c r="G15" s="35">
        <f>Участки[[#This Row],[Площадь]]*Цена!$C$1/100</f>
        <v>1232000</v>
      </c>
      <c r="H15" s="40" t="e">
        <f>VLOOKUP(Участки[[#This Row],[Номер участка]],Договоры7[#All],2,FALSE)</f>
        <v>#N/A</v>
      </c>
      <c r="I15" s="13" t="str">
        <f>IF(ISNUMBER(Участки[[#This Row],[УНП]]),VLOOKUP(Участки[[#This Row],[УНП]],Покупатели[[УНП]:[ФИО Покупателя]],2,FALSE),"")</f>
        <v/>
      </c>
    </row>
    <row r="16" spans="1:12" s="10" customFormat="1" x14ac:dyDescent="0.3">
      <c r="A16" s="9">
        <f t="shared" si="0"/>
        <v>15</v>
      </c>
      <c r="B16" s="11" t="s">
        <v>7</v>
      </c>
      <c r="C16" s="12">
        <v>1166</v>
      </c>
      <c r="D16" s="32">
        <v>800</v>
      </c>
      <c r="E16" s="13" t="s">
        <v>12</v>
      </c>
      <c r="F16" s="13" t="s">
        <v>3</v>
      </c>
      <c r="G16" s="35">
        <f>Участки[[#This Row],[Площадь]]*Цена!$C$1/100</f>
        <v>1120000</v>
      </c>
      <c r="H16" s="40" t="e">
        <f>VLOOKUP(Участки[[#This Row],[Номер участка]],Договоры7[#All],2,FALSE)</f>
        <v>#N/A</v>
      </c>
      <c r="I16" s="13" t="str">
        <f>IF(ISNUMBER(Участки[[#This Row],[УНП]]),VLOOKUP(Участки[[#This Row],[УНП]],Покупатели[[УНП]:[ФИО Покупателя]],2,FALSE),"")</f>
        <v/>
      </c>
    </row>
    <row r="17" spans="1:9" s="10" customFormat="1" x14ac:dyDescent="0.3">
      <c r="A17" s="9">
        <f t="shared" si="0"/>
        <v>16</v>
      </c>
      <c r="B17" s="11" t="s">
        <v>7</v>
      </c>
      <c r="C17" s="12">
        <v>1165</v>
      </c>
      <c r="D17" s="32">
        <v>800</v>
      </c>
      <c r="E17" s="13" t="s">
        <v>12</v>
      </c>
      <c r="F17" s="13" t="s">
        <v>3</v>
      </c>
      <c r="G17" s="35">
        <f>Участки[[#This Row],[Площадь]]*Цена!$C$1/100</f>
        <v>1120000</v>
      </c>
      <c r="H17" s="40" t="e">
        <f>VLOOKUP(Участки[[#This Row],[Номер участка]],Договоры7[#All],2,FALSE)</f>
        <v>#N/A</v>
      </c>
      <c r="I17" s="13" t="str">
        <f>IF(ISNUMBER(Участки[[#This Row],[УНП]]),VLOOKUP(Участки[[#This Row],[УНП]],Покупатели[[УНП]:[ФИО Покупателя]],2,FALSE),"")</f>
        <v/>
      </c>
    </row>
    <row r="18" spans="1:9" s="10" customFormat="1" x14ac:dyDescent="0.3">
      <c r="A18" s="9">
        <f t="shared" si="0"/>
        <v>17</v>
      </c>
      <c r="B18" s="11" t="s">
        <v>7</v>
      </c>
      <c r="C18" s="12">
        <v>1164</v>
      </c>
      <c r="D18" s="32">
        <v>800</v>
      </c>
      <c r="E18" s="13" t="s">
        <v>12</v>
      </c>
      <c r="F18" s="13" t="s">
        <v>3</v>
      </c>
      <c r="G18" s="35">
        <f>Участки[[#This Row],[Площадь]]*Цена!$C$1/100</f>
        <v>1120000</v>
      </c>
      <c r="H18" s="40" t="e">
        <f>VLOOKUP(Участки[[#This Row],[Номер участка]],Договоры7[#All],2,FALSE)</f>
        <v>#N/A</v>
      </c>
      <c r="I18" s="13" t="str">
        <f>IF(ISNUMBER(Участки[[#This Row],[УНП]]),VLOOKUP(Участки[[#This Row],[УНП]],Покупатели[[УНП]:[ФИО Покупателя]],2,FALSE),"")</f>
        <v/>
      </c>
    </row>
    <row r="19" spans="1:9" s="10" customFormat="1" x14ac:dyDescent="0.3">
      <c r="A19" s="9">
        <f t="shared" si="0"/>
        <v>18</v>
      </c>
      <c r="B19" s="11" t="s">
        <v>7</v>
      </c>
      <c r="C19" s="12">
        <v>1163</v>
      </c>
      <c r="D19" s="32">
        <v>800</v>
      </c>
      <c r="E19" s="13" t="s">
        <v>12</v>
      </c>
      <c r="F19" s="13" t="s">
        <v>3</v>
      </c>
      <c r="G19" s="35">
        <f>Участки[[#This Row],[Площадь]]*Цена!$C$1/100</f>
        <v>1120000</v>
      </c>
      <c r="H19" s="40" t="e">
        <f>VLOOKUP(Участки[[#This Row],[Номер участка]],Договоры7[#All],2,FALSE)</f>
        <v>#N/A</v>
      </c>
      <c r="I19" s="13" t="str">
        <f>IF(ISNUMBER(Участки[[#This Row],[УНП]]),VLOOKUP(Участки[[#This Row],[УНП]],Покупатели[[УНП]:[ФИО Покупателя]],2,FALSE),"")</f>
        <v/>
      </c>
    </row>
    <row r="20" spans="1:9" s="10" customFormat="1" x14ac:dyDescent="0.3">
      <c r="A20" s="9">
        <f t="shared" si="0"/>
        <v>19</v>
      </c>
      <c r="B20" s="11" t="s">
        <v>7</v>
      </c>
      <c r="C20" s="12">
        <v>1162</v>
      </c>
      <c r="D20" s="32">
        <v>800</v>
      </c>
      <c r="E20" s="13" t="s">
        <v>12</v>
      </c>
      <c r="F20" s="13" t="s">
        <v>3</v>
      </c>
      <c r="G20" s="35">
        <f>Участки[[#This Row],[Площадь]]*Цена!$C$1/100</f>
        <v>1120000</v>
      </c>
      <c r="H20" s="40" t="e">
        <f>VLOOKUP(Участки[[#This Row],[Номер участка]],Договоры7[#All],2,FALSE)</f>
        <v>#N/A</v>
      </c>
      <c r="I20" s="13" t="str">
        <f>IF(ISNUMBER(Участки[[#This Row],[УНП]]),VLOOKUP(Участки[[#This Row],[УНП]],Покупатели[[УНП]:[ФИО Покупателя]],2,FALSE),"")</f>
        <v/>
      </c>
    </row>
    <row r="21" spans="1:9" s="10" customFormat="1" x14ac:dyDescent="0.3">
      <c r="A21" s="9">
        <f t="shared" si="0"/>
        <v>20</v>
      </c>
      <c r="B21" s="11" t="s">
        <v>7</v>
      </c>
      <c r="C21" s="12">
        <v>1161</v>
      </c>
      <c r="D21" s="32">
        <v>800</v>
      </c>
      <c r="E21" s="13" t="s">
        <v>12</v>
      </c>
      <c r="F21" s="13" t="s">
        <v>3</v>
      </c>
      <c r="G21" s="35">
        <f>Участки[[#This Row],[Площадь]]*Цена!$C$1/100</f>
        <v>1120000</v>
      </c>
      <c r="H21" s="40" t="e">
        <f>VLOOKUP(Участки[[#This Row],[Номер участка]],Договоры7[#All],2,FALSE)</f>
        <v>#N/A</v>
      </c>
      <c r="I21" s="13" t="str">
        <f>IF(ISNUMBER(Участки[[#This Row],[УНП]]),VLOOKUP(Участки[[#This Row],[УНП]],Покупатели[[УНП]:[ФИО Покупателя]],2,FALSE),"")</f>
        <v/>
      </c>
    </row>
    <row r="22" spans="1:9" s="10" customFormat="1" x14ac:dyDescent="0.3">
      <c r="A22" s="9">
        <f t="shared" si="0"/>
        <v>21</v>
      </c>
      <c r="B22" s="11" t="s">
        <v>7</v>
      </c>
      <c r="C22" s="12">
        <v>1159</v>
      </c>
      <c r="D22" s="32">
        <v>900</v>
      </c>
      <c r="E22" s="13" t="s">
        <v>12</v>
      </c>
      <c r="F22" s="13" t="s">
        <v>3</v>
      </c>
      <c r="G22" s="35">
        <f>Участки[[#This Row],[Площадь]]*Цена!$C$1/100</f>
        <v>1260000</v>
      </c>
      <c r="H22" s="40" t="e">
        <f>VLOOKUP(Участки[[#This Row],[Номер участка]],Договоры7[#All],2,FALSE)</f>
        <v>#N/A</v>
      </c>
      <c r="I22" s="13" t="str">
        <f>IF(ISNUMBER(Участки[[#This Row],[УНП]]),VLOOKUP(Участки[[#This Row],[УНП]],Покупатели[[УНП]:[ФИО Покупателя]],2,FALSE),"")</f>
        <v/>
      </c>
    </row>
    <row r="23" spans="1:9" s="10" customFormat="1" x14ac:dyDescent="0.3">
      <c r="A23" s="9">
        <f t="shared" si="0"/>
        <v>22</v>
      </c>
      <c r="B23" s="11" t="s">
        <v>7</v>
      </c>
      <c r="C23" s="12">
        <v>1160</v>
      </c>
      <c r="D23" s="32">
        <v>900</v>
      </c>
      <c r="E23" s="13" t="s">
        <v>12</v>
      </c>
      <c r="F23" s="13" t="s">
        <v>3</v>
      </c>
      <c r="G23" s="35">
        <f>Участки[[#This Row],[Площадь]]*Цена!$C$1/100</f>
        <v>1260000</v>
      </c>
      <c r="H23" s="40" t="e">
        <f>VLOOKUP(Участки[[#This Row],[Номер участка]],Договоры7[#All],2,FALSE)</f>
        <v>#N/A</v>
      </c>
      <c r="I23" s="13" t="str">
        <f>IF(ISNUMBER(Участки[[#This Row],[УНП]]),VLOOKUP(Участки[[#This Row],[УНП]],Покупатели[[УНП]:[ФИО Покупателя]],2,FALSE),"")</f>
        <v/>
      </c>
    </row>
    <row r="24" spans="1:9" s="10" customFormat="1" x14ac:dyDescent="0.3">
      <c r="A24" s="9">
        <f t="shared" si="0"/>
        <v>23</v>
      </c>
      <c r="B24" s="11" t="s">
        <v>7</v>
      </c>
      <c r="C24" s="12">
        <v>3145</v>
      </c>
      <c r="D24" s="32">
        <v>440</v>
      </c>
      <c r="E24" s="13" t="s">
        <v>12</v>
      </c>
      <c r="F24" s="13" t="s">
        <v>4</v>
      </c>
      <c r="G24" s="35">
        <f>Участки[[#This Row],[Площадь]]*Цена!$C$1/100</f>
        <v>616000</v>
      </c>
      <c r="H24" s="40" t="e">
        <f>VLOOKUP(Участки[[#This Row],[Номер участка]],Договоры7[#All],2,FALSE)</f>
        <v>#N/A</v>
      </c>
      <c r="I24" s="13" t="str">
        <f>IF(ISNUMBER(Участки[[#This Row],[УНП]]),VLOOKUP(Участки[[#This Row],[УНП]],Покупатели[[УНП]:[ФИО Покупателя]],2,FALSE),"")</f>
        <v/>
      </c>
    </row>
    <row r="25" spans="1:9" s="10" customFormat="1" x14ac:dyDescent="0.3">
      <c r="A25" s="9">
        <f t="shared" si="0"/>
        <v>24</v>
      </c>
      <c r="B25" s="11" t="s">
        <v>7</v>
      </c>
      <c r="C25" s="12">
        <v>3146</v>
      </c>
      <c r="D25" s="32">
        <v>424</v>
      </c>
      <c r="E25" s="13" t="s">
        <v>12</v>
      </c>
      <c r="F25" s="13" t="s">
        <v>4</v>
      </c>
      <c r="G25" s="35">
        <f>Участки[[#This Row],[Площадь]]*Цена!$C$1/100</f>
        <v>593600</v>
      </c>
      <c r="H25" s="40" t="e">
        <f>VLOOKUP(Участки[[#This Row],[Номер участка]],Договоры7[#All],2,FALSE)</f>
        <v>#N/A</v>
      </c>
      <c r="I25" s="13" t="str">
        <f>IF(ISNUMBER(Участки[[#This Row],[УНП]]),VLOOKUP(Участки[[#This Row],[УНП]],Покупатели[[УНП]:[ФИО Покупателя]],2,FALSE),"")</f>
        <v/>
      </c>
    </row>
    <row r="26" spans="1:9" s="10" customFormat="1" x14ac:dyDescent="0.3">
      <c r="A26" s="9">
        <f t="shared" si="0"/>
        <v>25</v>
      </c>
      <c r="B26" s="11" t="s">
        <v>7</v>
      </c>
      <c r="C26" s="12">
        <v>3147</v>
      </c>
      <c r="D26" s="32">
        <v>424</v>
      </c>
      <c r="E26" s="13" t="s">
        <v>12</v>
      </c>
      <c r="F26" s="13" t="s">
        <v>4</v>
      </c>
      <c r="G26" s="35">
        <f>Участки[[#This Row],[Площадь]]*Цена!$C$1/100</f>
        <v>593600</v>
      </c>
      <c r="H26" s="40" t="e">
        <f>VLOOKUP(Участки[[#This Row],[Номер участка]],Договоры7[#All],2,FALSE)</f>
        <v>#N/A</v>
      </c>
      <c r="I26" s="13" t="str">
        <f>IF(ISNUMBER(Участки[[#This Row],[УНП]]),VLOOKUP(Участки[[#This Row],[УНП]],Покупатели[[УНП]:[ФИО Покупателя]],2,FALSE),"")</f>
        <v/>
      </c>
    </row>
    <row r="27" spans="1:9" s="10" customFormat="1" x14ac:dyDescent="0.3">
      <c r="A27" s="9">
        <f t="shared" si="0"/>
        <v>26</v>
      </c>
      <c r="B27" s="11" t="s">
        <v>7</v>
      </c>
      <c r="C27" s="12">
        <v>3148</v>
      </c>
      <c r="D27" s="32">
        <v>424</v>
      </c>
      <c r="E27" s="13" t="s">
        <v>12</v>
      </c>
      <c r="F27" s="13" t="s">
        <v>4</v>
      </c>
      <c r="G27" s="35">
        <f>Участки[[#This Row],[Площадь]]*Цена!$C$1/100</f>
        <v>593600</v>
      </c>
      <c r="H27" s="40" t="e">
        <f>VLOOKUP(Участки[[#This Row],[Номер участка]],Договоры7[#All],2,FALSE)</f>
        <v>#N/A</v>
      </c>
      <c r="I27" s="13" t="str">
        <f>IF(ISNUMBER(Участки[[#This Row],[УНП]]),VLOOKUP(Участки[[#This Row],[УНП]],Покупатели[[УНП]:[ФИО Покупателя]],2,FALSE),"")</f>
        <v/>
      </c>
    </row>
    <row r="28" spans="1:9" s="10" customFormat="1" x14ac:dyDescent="0.3">
      <c r="A28" s="9">
        <f t="shared" si="0"/>
        <v>27</v>
      </c>
      <c r="B28" s="11" t="s">
        <v>7</v>
      </c>
      <c r="C28" s="12">
        <v>3149</v>
      </c>
      <c r="D28" s="32">
        <v>424</v>
      </c>
      <c r="E28" s="13" t="s">
        <v>12</v>
      </c>
      <c r="F28" s="13" t="s">
        <v>4</v>
      </c>
      <c r="G28" s="35">
        <f>Участки[[#This Row],[Площадь]]*Цена!$C$1/100</f>
        <v>593600</v>
      </c>
      <c r="H28" s="40" t="e">
        <f>VLOOKUP(Участки[[#This Row],[Номер участка]],Договоры7[#All],2,FALSE)</f>
        <v>#N/A</v>
      </c>
      <c r="I28" s="13" t="str">
        <f>IF(ISNUMBER(Участки[[#This Row],[УНП]]),VLOOKUP(Участки[[#This Row],[УНП]],Покупатели[[УНП]:[ФИО Покупателя]],2,FALSE),"")</f>
        <v/>
      </c>
    </row>
    <row r="29" spans="1:9" s="10" customFormat="1" x14ac:dyDescent="0.3">
      <c r="A29" s="9">
        <f t="shared" si="0"/>
        <v>28</v>
      </c>
      <c r="B29" s="11" t="s">
        <v>7</v>
      </c>
      <c r="C29" s="12">
        <v>3135</v>
      </c>
      <c r="D29" s="32">
        <v>411</v>
      </c>
      <c r="E29" s="13" t="s">
        <v>12</v>
      </c>
      <c r="F29" s="13" t="s">
        <v>4</v>
      </c>
      <c r="G29" s="35">
        <f>Участки[[#This Row],[Площадь]]*Цена!$C$1/100</f>
        <v>575400</v>
      </c>
      <c r="H29" s="40" t="e">
        <f>VLOOKUP(Участки[[#This Row],[Номер участка]],Договоры7[#All],2,FALSE)</f>
        <v>#N/A</v>
      </c>
      <c r="I29" s="13" t="str">
        <f>IF(ISNUMBER(Участки[[#This Row],[УНП]]),VLOOKUP(Участки[[#This Row],[УНП]],Покупатели[[УНП]:[ФИО Покупателя]],2,FALSE),"")</f>
        <v/>
      </c>
    </row>
    <row r="30" spans="1:9" s="10" customFormat="1" x14ac:dyDescent="0.3">
      <c r="A30" s="9">
        <f t="shared" si="0"/>
        <v>29</v>
      </c>
      <c r="B30" s="11" t="s">
        <v>7</v>
      </c>
      <c r="C30" s="12">
        <v>3151</v>
      </c>
      <c r="D30" s="32">
        <v>428</v>
      </c>
      <c r="E30" s="13" t="s">
        <v>12</v>
      </c>
      <c r="F30" s="13" t="s">
        <v>4</v>
      </c>
      <c r="G30" s="35">
        <f>Участки[[#This Row],[Площадь]]*Цена!$C$1/100</f>
        <v>599200</v>
      </c>
      <c r="H30" s="40" t="e">
        <f>VLOOKUP(Участки[[#This Row],[Номер участка]],Договоры7[#All],2,FALSE)</f>
        <v>#N/A</v>
      </c>
      <c r="I30" s="13" t="str">
        <f>IF(ISNUMBER(Участки[[#This Row],[УНП]]),VLOOKUP(Участки[[#This Row],[УНП]],Покупатели[[УНП]:[ФИО Покупателя]],2,FALSE),"")</f>
        <v/>
      </c>
    </row>
    <row r="31" spans="1:9" s="10" customFormat="1" x14ac:dyDescent="0.3">
      <c r="A31" s="9">
        <f t="shared" si="0"/>
        <v>30</v>
      </c>
      <c r="B31" s="11" t="s">
        <v>7</v>
      </c>
      <c r="C31" s="12">
        <v>3152</v>
      </c>
      <c r="D31" s="32">
        <v>428</v>
      </c>
      <c r="E31" s="13" t="s">
        <v>12</v>
      </c>
      <c r="F31" s="13" t="s">
        <v>4</v>
      </c>
      <c r="G31" s="35">
        <f>Участки[[#This Row],[Площадь]]*Цена!$C$1/100</f>
        <v>599200</v>
      </c>
      <c r="H31" s="40" t="e">
        <f>VLOOKUP(Участки[[#This Row],[Номер участка]],Договоры7[#All],2,FALSE)</f>
        <v>#N/A</v>
      </c>
      <c r="I31" s="13" t="str">
        <f>IF(ISNUMBER(Участки[[#This Row],[УНП]]),VLOOKUP(Участки[[#This Row],[УНП]],Покупатели[[УНП]:[ФИО Покупателя]],2,FALSE),"")</f>
        <v/>
      </c>
    </row>
    <row r="32" spans="1:9" s="10" customFormat="1" x14ac:dyDescent="0.3">
      <c r="A32" s="9">
        <f t="shared" si="0"/>
        <v>31</v>
      </c>
      <c r="B32" s="11" t="s">
        <v>7</v>
      </c>
      <c r="C32" s="12">
        <v>3153</v>
      </c>
      <c r="D32" s="32">
        <v>428</v>
      </c>
      <c r="E32" s="13" t="s">
        <v>12</v>
      </c>
      <c r="F32" s="13" t="s">
        <v>4</v>
      </c>
      <c r="G32" s="35">
        <f>Участки[[#This Row],[Площадь]]*Цена!$C$1/100</f>
        <v>599200</v>
      </c>
      <c r="H32" s="40" t="e">
        <f>VLOOKUP(Участки[[#This Row],[Номер участка]],Договоры7[#All],2,FALSE)</f>
        <v>#N/A</v>
      </c>
      <c r="I32" s="13" t="str">
        <f>IF(ISNUMBER(Участки[[#This Row],[УНП]]),VLOOKUP(Участки[[#This Row],[УНП]],Покупатели[[УНП]:[ФИО Покупателя]],2,FALSE),"")</f>
        <v/>
      </c>
    </row>
    <row r="33" spans="1:9" s="10" customFormat="1" x14ac:dyDescent="0.3">
      <c r="A33" s="9">
        <f t="shared" si="0"/>
        <v>32</v>
      </c>
      <c r="B33" s="11" t="s">
        <v>7</v>
      </c>
      <c r="C33" s="12">
        <v>3154</v>
      </c>
      <c r="D33" s="32">
        <v>428</v>
      </c>
      <c r="E33" s="13" t="s">
        <v>12</v>
      </c>
      <c r="F33" s="13" t="s">
        <v>4</v>
      </c>
      <c r="G33" s="35">
        <f>Участки[[#This Row],[Площадь]]*Цена!$C$1/100</f>
        <v>599200</v>
      </c>
      <c r="H33" s="40" t="e">
        <f>VLOOKUP(Участки[[#This Row],[Номер участка]],Договоры7[#All],2,FALSE)</f>
        <v>#N/A</v>
      </c>
      <c r="I33" s="13" t="str">
        <f>IF(ISNUMBER(Участки[[#This Row],[УНП]]),VLOOKUP(Участки[[#This Row],[УНП]],Покупатели[[УНП]:[ФИО Покупателя]],2,FALSE),"")</f>
        <v/>
      </c>
    </row>
    <row r="34" spans="1:9" s="10" customFormat="1" x14ac:dyDescent="0.3">
      <c r="A34" s="9">
        <f t="shared" si="0"/>
        <v>33</v>
      </c>
      <c r="B34" s="11" t="s">
        <v>7</v>
      </c>
      <c r="C34" s="12">
        <v>3155</v>
      </c>
      <c r="D34" s="32">
        <v>447</v>
      </c>
      <c r="E34" s="13" t="s">
        <v>12</v>
      </c>
      <c r="F34" s="13" t="s">
        <v>4</v>
      </c>
      <c r="G34" s="35">
        <f>Участки[[#This Row],[Площадь]]*Цена!$C$1/100</f>
        <v>625800</v>
      </c>
      <c r="H34" s="40" t="e">
        <f>VLOOKUP(Участки[[#This Row],[Номер участка]],Договоры7[#All],2,FALSE)</f>
        <v>#N/A</v>
      </c>
      <c r="I34" s="13" t="str">
        <f>IF(ISNUMBER(Участки[[#This Row],[УНП]]),VLOOKUP(Участки[[#This Row],[УНП]],Покупатели[[УНП]:[ФИО Покупателя]],2,FALSE),"")</f>
        <v/>
      </c>
    </row>
    <row r="35" spans="1:9" s="10" customFormat="1" x14ac:dyDescent="0.3">
      <c r="A35" s="9">
        <f t="shared" si="0"/>
        <v>34</v>
      </c>
      <c r="B35" s="11" t="s">
        <v>7</v>
      </c>
      <c r="C35" s="12">
        <v>3144</v>
      </c>
      <c r="D35" s="32">
        <v>435</v>
      </c>
      <c r="E35" s="13" t="s">
        <v>12</v>
      </c>
      <c r="F35" s="13" t="s">
        <v>4</v>
      </c>
      <c r="G35" s="35">
        <f>Участки[[#This Row],[Площадь]]*Цена!$C$1/100</f>
        <v>609000</v>
      </c>
      <c r="H35" s="40" t="e">
        <f>VLOOKUP(Участки[[#This Row],[Номер участка]],Договоры7[#All],2,FALSE)</f>
        <v>#N/A</v>
      </c>
      <c r="I35" s="13" t="str">
        <f>IF(ISNUMBER(Участки[[#This Row],[УНП]]),VLOOKUP(Участки[[#This Row],[УНП]],Покупатели[[УНП]:[ФИО Покупателя]],2,FALSE),"")</f>
        <v/>
      </c>
    </row>
    <row r="36" spans="1:9" s="10" customFormat="1" x14ac:dyDescent="0.3">
      <c r="A36" s="9">
        <f t="shared" si="0"/>
        <v>35</v>
      </c>
      <c r="B36" s="11" t="s">
        <v>7</v>
      </c>
      <c r="C36" s="12">
        <v>3143</v>
      </c>
      <c r="D36" s="32">
        <v>435</v>
      </c>
      <c r="E36" s="13" t="s">
        <v>12</v>
      </c>
      <c r="F36" s="13" t="s">
        <v>4</v>
      </c>
      <c r="G36" s="35">
        <f>Участки[[#This Row],[Площадь]]*Цена!$C$1/100</f>
        <v>609000</v>
      </c>
      <c r="H36" s="40" t="e">
        <f>VLOOKUP(Участки[[#This Row],[Номер участка]],Договоры7[#All],2,FALSE)</f>
        <v>#N/A</v>
      </c>
      <c r="I36" s="13" t="str">
        <f>IF(ISNUMBER(Участки[[#This Row],[УНП]]),VLOOKUP(Участки[[#This Row],[УНП]],Покупатели[[УНП]:[ФИО Покупателя]],2,FALSE),"")</f>
        <v/>
      </c>
    </row>
    <row r="37" spans="1:9" s="10" customFormat="1" x14ac:dyDescent="0.3">
      <c r="A37" s="9">
        <f t="shared" si="0"/>
        <v>36</v>
      </c>
      <c r="B37" s="11" t="s">
        <v>7</v>
      </c>
      <c r="C37" s="12">
        <v>3142</v>
      </c>
      <c r="D37" s="32">
        <v>436</v>
      </c>
      <c r="E37" s="13" t="s">
        <v>12</v>
      </c>
      <c r="F37" s="13" t="s">
        <v>4</v>
      </c>
      <c r="G37" s="35">
        <f>Участки[[#This Row],[Площадь]]*Цена!$C$1/100</f>
        <v>610400</v>
      </c>
      <c r="H37" s="40" t="e">
        <f>VLOOKUP(Участки[[#This Row],[Номер участка]],Договоры7[#All],2,FALSE)</f>
        <v>#N/A</v>
      </c>
      <c r="I37" s="13" t="str">
        <f>IF(ISNUMBER(Участки[[#This Row],[УНП]]),VLOOKUP(Участки[[#This Row],[УНП]],Покупатели[[УНП]:[ФИО Покупателя]],2,FALSE),"")</f>
        <v/>
      </c>
    </row>
    <row r="38" spans="1:9" s="10" customFormat="1" x14ac:dyDescent="0.3">
      <c r="A38" s="9">
        <f t="shared" si="0"/>
        <v>37</v>
      </c>
      <c r="B38" s="11" t="s">
        <v>7</v>
      </c>
      <c r="C38" s="12">
        <v>3141</v>
      </c>
      <c r="D38" s="32">
        <v>436</v>
      </c>
      <c r="E38" s="13" t="s">
        <v>12</v>
      </c>
      <c r="F38" s="13" t="s">
        <v>4</v>
      </c>
      <c r="G38" s="35">
        <f>Участки[[#This Row],[Площадь]]*Цена!$C$1/100</f>
        <v>610400</v>
      </c>
      <c r="H38" s="40" t="e">
        <f>VLOOKUP(Участки[[#This Row],[Номер участка]],Договоры7[#All],2,FALSE)</f>
        <v>#N/A</v>
      </c>
      <c r="I38" s="13" t="str">
        <f>IF(ISNUMBER(Участки[[#This Row],[УНП]]),VLOOKUP(Участки[[#This Row],[УНП]],Покупатели[[УНП]:[ФИО Покупателя]],2,FALSE),"")</f>
        <v/>
      </c>
    </row>
    <row r="39" spans="1:9" s="10" customFormat="1" x14ac:dyDescent="0.3">
      <c r="A39" s="9">
        <f t="shared" si="0"/>
        <v>38</v>
      </c>
      <c r="B39" s="11" t="s">
        <v>7</v>
      </c>
      <c r="C39" s="12">
        <v>3140</v>
      </c>
      <c r="D39" s="32">
        <v>413</v>
      </c>
      <c r="E39" s="13" t="s">
        <v>12</v>
      </c>
      <c r="F39" s="13" t="s">
        <v>4</v>
      </c>
      <c r="G39" s="35">
        <f>Участки[[#This Row],[Площадь]]*Цена!$C$1/100</f>
        <v>578200</v>
      </c>
      <c r="H39" s="40" t="e">
        <f>VLOOKUP(Участки[[#This Row],[Номер участка]],Договоры7[#All],2,FALSE)</f>
        <v>#N/A</v>
      </c>
      <c r="I39" s="13" t="str">
        <f>IF(ISNUMBER(Участки[[#This Row],[УНП]]),VLOOKUP(Участки[[#This Row],[УНП]],Покупатели[[УНП]:[ФИО Покупателя]],2,FALSE),"")</f>
        <v/>
      </c>
    </row>
    <row r="40" spans="1:9" s="10" customFormat="1" x14ac:dyDescent="0.3">
      <c r="A40" s="9">
        <f t="shared" si="0"/>
        <v>39</v>
      </c>
      <c r="B40" s="11" t="s">
        <v>7</v>
      </c>
      <c r="C40" s="12">
        <v>3139</v>
      </c>
      <c r="D40" s="32">
        <v>434</v>
      </c>
      <c r="E40" s="13" t="s">
        <v>12</v>
      </c>
      <c r="F40" s="13" t="s">
        <v>4</v>
      </c>
      <c r="G40" s="35">
        <f>Участки[[#This Row],[Площадь]]*Цена!$C$1/100</f>
        <v>607600</v>
      </c>
      <c r="H40" s="40" t="e">
        <f>VLOOKUP(Участки[[#This Row],[Номер участка]],Договоры7[#All],2,FALSE)</f>
        <v>#N/A</v>
      </c>
      <c r="I40" s="13" t="str">
        <f>IF(ISNUMBER(Участки[[#This Row],[УНП]]),VLOOKUP(Участки[[#This Row],[УНП]],Покупатели[[УНП]:[ФИО Покупателя]],2,FALSE),"")</f>
        <v/>
      </c>
    </row>
    <row r="41" spans="1:9" s="10" customFormat="1" x14ac:dyDescent="0.3">
      <c r="A41" s="9">
        <f t="shared" si="0"/>
        <v>40</v>
      </c>
      <c r="B41" s="11" t="s">
        <v>7</v>
      </c>
      <c r="C41" s="12">
        <v>3138</v>
      </c>
      <c r="D41" s="32">
        <v>433</v>
      </c>
      <c r="E41" s="13" t="s">
        <v>12</v>
      </c>
      <c r="F41" s="13" t="s">
        <v>4</v>
      </c>
      <c r="G41" s="35">
        <f>Участки[[#This Row],[Площадь]]*Цена!$C$1/100</f>
        <v>606200</v>
      </c>
      <c r="H41" s="40" t="e">
        <f>VLOOKUP(Участки[[#This Row],[Номер участка]],Договоры7[#All],2,FALSE)</f>
        <v>#N/A</v>
      </c>
      <c r="I41" s="13" t="str">
        <f>IF(ISNUMBER(Участки[[#This Row],[УНП]]),VLOOKUP(Участки[[#This Row],[УНП]],Покупатели[[УНП]:[ФИО Покупателя]],2,FALSE),"")</f>
        <v/>
      </c>
    </row>
    <row r="42" spans="1:9" s="10" customFormat="1" x14ac:dyDescent="0.3">
      <c r="A42" s="9">
        <f t="shared" si="0"/>
        <v>41</v>
      </c>
      <c r="B42" s="11" t="s">
        <v>7</v>
      </c>
      <c r="C42" s="12">
        <v>3137</v>
      </c>
      <c r="D42" s="32">
        <v>433</v>
      </c>
      <c r="E42" s="13" t="s">
        <v>12</v>
      </c>
      <c r="F42" s="13" t="s">
        <v>4</v>
      </c>
      <c r="G42" s="35">
        <f>Участки[[#This Row],[Площадь]]*Цена!$C$1/100</f>
        <v>606200</v>
      </c>
      <c r="H42" s="40" t="e">
        <f>VLOOKUP(Участки[[#This Row],[Номер участка]],Договоры7[#All],2,FALSE)</f>
        <v>#N/A</v>
      </c>
      <c r="I42" s="13" t="str">
        <f>IF(ISNUMBER(Участки[[#This Row],[УНП]]),VLOOKUP(Участки[[#This Row],[УНП]],Покупатели[[УНП]:[ФИО Покупателя]],2,FALSE),"")</f>
        <v/>
      </c>
    </row>
    <row r="43" spans="1:9" s="10" customFormat="1" x14ac:dyDescent="0.3">
      <c r="A43" s="9">
        <f t="shared" si="0"/>
        <v>42</v>
      </c>
      <c r="B43" s="11" t="s">
        <v>7</v>
      </c>
      <c r="C43" s="12">
        <v>3163</v>
      </c>
      <c r="D43" s="32">
        <v>433</v>
      </c>
      <c r="E43" s="13" t="s">
        <v>12</v>
      </c>
      <c r="F43" s="13" t="s">
        <v>4</v>
      </c>
      <c r="G43" s="35">
        <f>Участки[[#This Row],[Площадь]]*Цена!$C$1/100</f>
        <v>606200</v>
      </c>
      <c r="H43" s="40" t="e">
        <f>VLOOKUP(Участки[[#This Row],[Номер участка]],Договоры7[#All],2,FALSE)</f>
        <v>#N/A</v>
      </c>
      <c r="I43" s="13" t="str">
        <f>IF(ISNUMBER(Участки[[#This Row],[УНП]]),VLOOKUP(Участки[[#This Row],[УНП]],Покупатели[[УНП]:[ФИО Покупателя]],2,FALSE),"")</f>
        <v/>
      </c>
    </row>
    <row r="44" spans="1:9" s="25" customFormat="1" x14ac:dyDescent="0.3">
      <c r="A44" s="61">
        <f t="shared" si="0"/>
        <v>43</v>
      </c>
      <c r="B44" s="7" t="s">
        <v>7</v>
      </c>
      <c r="C44" s="28">
        <v>4259</v>
      </c>
      <c r="D44" s="38">
        <v>623</v>
      </c>
      <c r="E44" s="29" t="s">
        <v>10</v>
      </c>
      <c r="F44" s="29" t="s">
        <v>5</v>
      </c>
      <c r="G44" s="39">
        <f>Участки[[#This Row],[Площадь]]*Цена!$C$1/100</f>
        <v>872200</v>
      </c>
      <c r="H44" s="40">
        <f>VLOOKUP(Участки[[#This Row],[Номер участка]],Договоры7[#All],2,FALSE)</f>
        <v>1</v>
      </c>
      <c r="I44" s="29" t="str">
        <f>IF(ISNUMBER(Участки[[#This Row],[УНП]]),VLOOKUP(Участки[[#This Row],[УНП]],Покупатели[[УНП]:[ФИО Покупателя]],2,FALSE),"")</f>
        <v>Иброхимов Сухроб Юлдош угли</v>
      </c>
    </row>
    <row r="45" spans="1:9" s="25" customFormat="1" x14ac:dyDescent="0.3">
      <c r="A45" s="61">
        <f t="shared" si="0"/>
        <v>44</v>
      </c>
      <c r="B45" s="7" t="s">
        <v>7</v>
      </c>
      <c r="C45" s="28">
        <v>4247</v>
      </c>
      <c r="D45" s="38">
        <v>623</v>
      </c>
      <c r="E45" s="29" t="s">
        <v>10</v>
      </c>
      <c r="F45" s="29" t="s">
        <v>5</v>
      </c>
      <c r="G45" s="39">
        <f>Участки[[#This Row],[Площадь]]*Цена!$C$1/100</f>
        <v>872200</v>
      </c>
      <c r="H45" s="40">
        <f>VLOOKUP(Участки[[#This Row],[Номер участка]],Договоры7[#All],2,FALSE)</f>
        <v>2</v>
      </c>
      <c r="I45" s="29" t="str">
        <f>IF(ISNUMBER(Участки[[#This Row],[УНП]]),VLOOKUP(Участки[[#This Row],[УНП]],Покупатели[[УНП]:[ФИО Покупателя]],2,FALSE),"")</f>
        <v>Орзиев Омон Шарипович</v>
      </c>
    </row>
    <row r="46" spans="1:9" s="25" customFormat="1" x14ac:dyDescent="0.3">
      <c r="A46" s="61">
        <f t="shared" si="0"/>
        <v>45</v>
      </c>
      <c r="B46" s="7" t="s">
        <v>7</v>
      </c>
      <c r="C46" s="28">
        <v>4260</v>
      </c>
      <c r="D46" s="38">
        <v>623</v>
      </c>
      <c r="E46" s="29" t="s">
        <v>10</v>
      </c>
      <c r="F46" s="29" t="s">
        <v>5</v>
      </c>
      <c r="G46" s="39">
        <f>Участки[[#This Row],[Площадь]]*Цена!$C$1/100</f>
        <v>872200</v>
      </c>
      <c r="H46" s="40">
        <f>VLOOKUP(Участки[[#This Row],[Номер участка]],Договоры7[#All],2,FALSE)</f>
        <v>8</v>
      </c>
      <c r="I46" s="29" t="str">
        <f>IF(ISNUMBER(Участки[[#This Row],[УНП]]),VLOOKUP(Участки[[#This Row],[УНП]],Покупатели[[УНП]:[ФИО Покупателя]],2,FALSE),"")</f>
        <v>Попова Галина Александровна</v>
      </c>
    </row>
    <row r="47" spans="1:9" s="25" customFormat="1" x14ac:dyDescent="0.3">
      <c r="A47" s="61">
        <f t="shared" si="0"/>
        <v>46</v>
      </c>
      <c r="B47" s="7" t="s">
        <v>7</v>
      </c>
      <c r="C47" s="28">
        <v>4246</v>
      </c>
      <c r="D47" s="38">
        <v>623</v>
      </c>
      <c r="E47" s="29" t="s">
        <v>10</v>
      </c>
      <c r="F47" s="29" t="s">
        <v>5</v>
      </c>
      <c r="G47" s="39">
        <f>Участки[[#This Row],[Площадь]]*Цена!$C$1/100</f>
        <v>872200</v>
      </c>
      <c r="H47" s="40" t="e">
        <f>VLOOKUP(Участки[[#This Row],[Номер участка]],Договоры7[#All],2,FALSE)</f>
        <v>#N/A</v>
      </c>
      <c r="I47" s="29" t="str">
        <f>IF(ISNUMBER(Участки[[#This Row],[УНП]]),VLOOKUP(Участки[[#This Row],[УНП]],Покупатели[[УНП]:[ФИО Покупателя]],2,FALSE),"")</f>
        <v/>
      </c>
    </row>
    <row r="48" spans="1:9" s="25" customFormat="1" x14ac:dyDescent="0.3">
      <c r="A48" s="61">
        <f t="shared" si="0"/>
        <v>47</v>
      </c>
      <c r="B48" s="7" t="s">
        <v>7</v>
      </c>
      <c r="C48" s="28">
        <v>4248</v>
      </c>
      <c r="D48" s="38">
        <v>623</v>
      </c>
      <c r="E48" s="29" t="s">
        <v>10</v>
      </c>
      <c r="F48" s="29" t="s">
        <v>5</v>
      </c>
      <c r="G48" s="39">
        <f>Участки[[#This Row],[Площадь]]*Цена!$C$1/100</f>
        <v>872200</v>
      </c>
      <c r="H48" s="40" t="e">
        <f>VLOOKUP(Участки[[#This Row],[Номер участка]],Договоры7[#All],2,FALSE)</f>
        <v>#N/A</v>
      </c>
      <c r="I48" s="29" t="str">
        <f>IF(ISNUMBER(Участки[[#This Row],[УНП]]),VLOOKUP(Участки[[#This Row],[УНП]],Покупатели[[УНП]:[ФИО Покупателя]],2,FALSE),"")</f>
        <v/>
      </c>
    </row>
    <row r="49" spans="1:9" s="25" customFormat="1" x14ac:dyDescent="0.3">
      <c r="A49" s="61">
        <f t="shared" si="0"/>
        <v>48</v>
      </c>
      <c r="B49" s="7" t="s">
        <v>7</v>
      </c>
      <c r="C49" s="28">
        <v>4249</v>
      </c>
      <c r="D49" s="38">
        <v>623</v>
      </c>
      <c r="E49" s="29" t="s">
        <v>10</v>
      </c>
      <c r="F49" s="29" t="s">
        <v>5</v>
      </c>
      <c r="G49" s="39">
        <f>Участки[[#This Row],[Площадь]]*Цена!$C$1/100</f>
        <v>872200</v>
      </c>
      <c r="H49" s="40" t="e">
        <f>VLOOKUP(Участки[[#This Row],[Номер участка]],Договоры7[#All],2,FALSE)</f>
        <v>#N/A</v>
      </c>
      <c r="I49" s="29" t="str">
        <f>IF(ISNUMBER(Участки[[#This Row],[УНП]]),VLOOKUP(Участки[[#This Row],[УНП]],Покупатели[[УНП]:[ФИО Покупателя]],2,FALSE),"")</f>
        <v/>
      </c>
    </row>
    <row r="50" spans="1:9" s="25" customFormat="1" x14ac:dyDescent="0.3">
      <c r="A50" s="61">
        <f t="shared" si="0"/>
        <v>49</v>
      </c>
      <c r="B50" s="7" t="s">
        <v>7</v>
      </c>
      <c r="C50" s="28">
        <v>4250</v>
      </c>
      <c r="D50" s="59">
        <v>379</v>
      </c>
      <c r="E50" s="29" t="s">
        <v>11</v>
      </c>
      <c r="F50" s="29" t="s">
        <v>5</v>
      </c>
      <c r="G50" s="39">
        <f>Участки[[#This Row],[Площадь]]*Цена!$C$1/100</f>
        <v>530600</v>
      </c>
      <c r="H50" s="40">
        <f>VLOOKUP(Участки[[#This Row],[Номер участка]],Договоры7[#All],2,FALSE)</f>
        <v>3</v>
      </c>
      <c r="I50" s="29" t="str">
        <f>IF(ISNUMBER(Участки[[#This Row],[УНП]]),VLOOKUP(Участки[[#This Row],[УНП]],Покупатели[[УНП]:[ФИО Покупателя]],2,FALSE),"")</f>
        <v>Каширин Александр Валерьевич</v>
      </c>
    </row>
    <row r="51" spans="1:9" s="25" customFormat="1" x14ac:dyDescent="0.3">
      <c r="A51" s="61">
        <f t="shared" si="0"/>
        <v>50</v>
      </c>
      <c r="B51" s="7" t="s">
        <v>7</v>
      </c>
      <c r="C51" s="28">
        <v>4251</v>
      </c>
      <c r="D51" s="38">
        <v>380</v>
      </c>
      <c r="E51" s="29" t="s">
        <v>11</v>
      </c>
      <c r="F51" s="29" t="s">
        <v>5</v>
      </c>
      <c r="G51" s="39">
        <f>Участки[[#This Row],[Площадь]]*Цена!$C$1/100</f>
        <v>532000</v>
      </c>
      <c r="H51" s="40">
        <f>VLOOKUP(Участки[[#This Row],[Номер участка]],Договоры7[#All],2,FALSE)</f>
        <v>4</v>
      </c>
      <c r="I51" s="29" t="str">
        <f>IF(ISNUMBER(Участки[[#This Row],[УНП]]),VLOOKUP(Участки[[#This Row],[УНП]],Покупатели[[УНП]:[ФИО Покупателя]],2,FALSE),"")</f>
        <v>Экимян Лусине Агасиевна</v>
      </c>
    </row>
    <row r="52" spans="1:9" s="25" customFormat="1" x14ac:dyDescent="0.3">
      <c r="A52" s="61">
        <f t="shared" si="0"/>
        <v>51</v>
      </c>
      <c r="B52" s="7" t="s">
        <v>7</v>
      </c>
      <c r="C52" s="28">
        <v>4252</v>
      </c>
      <c r="D52" s="38">
        <v>623</v>
      </c>
      <c r="E52" s="29" t="s">
        <v>10</v>
      </c>
      <c r="F52" s="29" t="s">
        <v>5</v>
      </c>
      <c r="G52" s="39">
        <f>Участки[[#This Row],[Площадь]]*Цена!$C$1/100</f>
        <v>872200</v>
      </c>
      <c r="H52" s="40">
        <f>VLOOKUP(Участки[[#This Row],[Номер участка]],Договоры7[#All],2,FALSE)</f>
        <v>3</v>
      </c>
      <c r="I52" s="29" t="str">
        <f>IF(ISNUMBER(Участки[[#This Row],[УНП]]),VLOOKUP(Участки[[#This Row],[УНП]],Покупатели[[УНП]:[ФИО Покупателя]],2,FALSE),"")</f>
        <v>Каширин Александр Валерьевич</v>
      </c>
    </row>
    <row r="53" spans="1:9" s="25" customFormat="1" x14ac:dyDescent="0.3">
      <c r="A53" s="61">
        <f t="shared" si="0"/>
        <v>52</v>
      </c>
      <c r="B53" s="7" t="s">
        <v>7</v>
      </c>
      <c r="C53" s="28">
        <v>4253</v>
      </c>
      <c r="D53" s="38">
        <v>623</v>
      </c>
      <c r="E53" s="29" t="s">
        <v>10</v>
      </c>
      <c r="F53" s="29" t="s">
        <v>5</v>
      </c>
      <c r="G53" s="39">
        <f>Участки[[#This Row],[Площадь]]*Цена!$C$1/100</f>
        <v>872200</v>
      </c>
      <c r="H53" s="40">
        <f>VLOOKUP(Участки[[#This Row],[Номер участка]],Договоры7[#All],2,FALSE)</f>
        <v>3</v>
      </c>
      <c r="I53" s="29" t="str">
        <f>IF(ISNUMBER(Участки[[#This Row],[УНП]]),VLOOKUP(Участки[[#This Row],[УНП]],Покупатели[[УНП]:[ФИО Покупателя]],2,FALSE),"")</f>
        <v>Каширин Александр Валерьевич</v>
      </c>
    </row>
    <row r="54" spans="1:9" s="25" customFormat="1" x14ac:dyDescent="0.3">
      <c r="A54" s="61">
        <f t="shared" si="0"/>
        <v>53</v>
      </c>
      <c r="B54" s="7" t="s">
        <v>7</v>
      </c>
      <c r="C54" s="28">
        <v>4254</v>
      </c>
      <c r="D54" s="38">
        <v>623</v>
      </c>
      <c r="E54" s="29" t="s">
        <v>10</v>
      </c>
      <c r="F54" s="29" t="s">
        <v>5</v>
      </c>
      <c r="G54" s="39">
        <f>Участки[[#This Row],[Площадь]]*Цена!$C$1/100</f>
        <v>872200</v>
      </c>
      <c r="H54" s="40">
        <f>VLOOKUP(Участки[[#This Row],[Номер участка]],Договоры7[#All],2,FALSE)</f>
        <v>5</v>
      </c>
      <c r="I54" s="29" t="str">
        <f>IF(ISNUMBER(Участки[[#This Row],[УНП]]),VLOOKUP(Участки[[#This Row],[УНП]],Покупатели[[УНП]:[ФИО Покупателя]],2,FALSE),"")</f>
        <v>Волощенко Наталья Анатольевна</v>
      </c>
    </row>
    <row r="55" spans="1:9" s="25" customFormat="1" x14ac:dyDescent="0.3">
      <c r="A55" s="61">
        <f t="shared" si="0"/>
        <v>54</v>
      </c>
      <c r="B55" s="7" t="s">
        <v>7</v>
      </c>
      <c r="C55" s="28">
        <v>4255</v>
      </c>
      <c r="D55" s="38">
        <v>623</v>
      </c>
      <c r="E55" s="29" t="s">
        <v>10</v>
      </c>
      <c r="F55" s="29" t="s">
        <v>5</v>
      </c>
      <c r="G55" s="39">
        <f>Участки[[#This Row],[Площадь]]*Цена!$C$1/100</f>
        <v>872200</v>
      </c>
      <c r="H55" s="40">
        <f>VLOOKUP(Участки[[#This Row],[Номер участка]],Договоры7[#All],2,FALSE)</f>
        <v>6</v>
      </c>
      <c r="I55" s="29" t="str">
        <f>IF(ISNUMBER(Участки[[#This Row],[УНП]]),VLOOKUP(Участки[[#This Row],[УНП]],Покупатели[[УНП]:[ФИО Покупателя]],2,FALSE),"")</f>
        <v>Попов Илья Александрович</v>
      </c>
    </row>
    <row r="56" spans="1:9" s="25" customFormat="1" x14ac:dyDescent="0.3">
      <c r="A56" s="61">
        <f t="shared" si="0"/>
        <v>55</v>
      </c>
      <c r="B56" s="7" t="s">
        <v>7</v>
      </c>
      <c r="C56" s="28">
        <v>4256</v>
      </c>
      <c r="D56" s="38">
        <v>623</v>
      </c>
      <c r="E56" s="29" t="s">
        <v>10</v>
      </c>
      <c r="F56" s="29" t="s">
        <v>5</v>
      </c>
      <c r="G56" s="39">
        <f>Участки[[#This Row],[Площадь]]*Цена!$C$1/100</f>
        <v>872200</v>
      </c>
      <c r="H56" s="40">
        <f>VLOOKUP(Участки[[#This Row],[Номер участка]],Договоры7[#All],2,FALSE)</f>
        <v>6</v>
      </c>
      <c r="I56" s="29" t="str">
        <f>IF(ISNUMBER(Участки[[#This Row],[УНП]]),VLOOKUP(Участки[[#This Row],[УНП]],Покупатели[[УНП]:[ФИО Покупателя]],2,FALSE),"")</f>
        <v>Попов Илья Александрович</v>
      </c>
    </row>
    <row r="57" spans="1:9" s="25" customFormat="1" x14ac:dyDescent="0.3">
      <c r="A57" s="61">
        <f t="shared" si="0"/>
        <v>56</v>
      </c>
      <c r="B57" s="7" t="s">
        <v>7</v>
      </c>
      <c r="C57" s="28">
        <v>4257</v>
      </c>
      <c r="D57" s="38">
        <v>623</v>
      </c>
      <c r="E57" s="29" t="s">
        <v>10</v>
      </c>
      <c r="F57" s="29" t="s">
        <v>5</v>
      </c>
      <c r="G57" s="39">
        <f>Участки[[#This Row],[Площадь]]*Цена!$C$1/100</f>
        <v>872200</v>
      </c>
      <c r="H57" s="40" t="e">
        <f>VLOOKUP(Участки[[#This Row],[Номер участка]],Договоры7[#All],2,FALSE)</f>
        <v>#N/A</v>
      </c>
      <c r="I57" s="29" t="str">
        <f>IF(ISNUMBER(Участки[[#This Row],[УНП]]),VLOOKUP(Участки[[#This Row],[УНП]],Покупатели[[УНП]:[ФИО Покупателя]],2,FALSE),"")</f>
        <v/>
      </c>
    </row>
    <row r="58" spans="1:9" s="25" customFormat="1" x14ac:dyDescent="0.3">
      <c r="A58" s="61">
        <f t="shared" si="0"/>
        <v>57</v>
      </c>
      <c r="B58" s="7" t="s">
        <v>7</v>
      </c>
      <c r="C58" s="28">
        <v>4258</v>
      </c>
      <c r="D58" s="59">
        <v>759</v>
      </c>
      <c r="E58" s="29" t="s">
        <v>11</v>
      </c>
      <c r="F58" s="29" t="s">
        <v>5</v>
      </c>
      <c r="G58" s="39">
        <f>Участки[[#This Row],[Площадь]]*Цена!$C$1/100</f>
        <v>1062600</v>
      </c>
      <c r="H58" s="40" t="e">
        <f>VLOOKUP(Участки[[#This Row],[Номер участка]],Договоры7[#All],2,FALSE)</f>
        <v>#N/A</v>
      </c>
      <c r="I58" s="29" t="str">
        <f>IF(ISNUMBER(Участки[[#This Row],[УНП]]),VLOOKUP(Участки[[#This Row],[УНП]],Покупатели[[УНП]:[ФИО Покупателя]],2,FALSE),"")</f>
        <v/>
      </c>
    </row>
    <row r="59" spans="1:9" s="10" customFormat="1" x14ac:dyDescent="0.3">
      <c r="A59" s="9">
        <f t="shared" si="0"/>
        <v>58</v>
      </c>
      <c r="B59" s="11" t="s">
        <v>7</v>
      </c>
      <c r="C59" s="12">
        <v>3126</v>
      </c>
      <c r="D59" s="32">
        <v>490</v>
      </c>
      <c r="E59" s="13" t="s">
        <v>12</v>
      </c>
      <c r="F59" s="13" t="s">
        <v>4</v>
      </c>
      <c r="G59" s="35">
        <f>Участки[[#This Row],[Площадь]]*Цена!$C$1/100</f>
        <v>686000</v>
      </c>
      <c r="H59" s="40" t="e">
        <f>VLOOKUP(Участки[[#This Row],[Номер участка]],Договоры7[#All],2,FALSE)</f>
        <v>#N/A</v>
      </c>
      <c r="I59" s="13" t="str">
        <f>IF(ISNUMBER(Участки[[#This Row],[УНП]]),VLOOKUP(Участки[[#This Row],[УНП]],Покупатели[[УНП]:[ФИО Покупателя]],2,FALSE),"")</f>
        <v/>
      </c>
    </row>
    <row r="60" spans="1:9" s="10" customFormat="1" x14ac:dyDescent="0.3">
      <c r="A60" s="9">
        <f t="shared" si="0"/>
        <v>59</v>
      </c>
      <c r="B60" s="11" t="s">
        <v>7</v>
      </c>
      <c r="C60" s="12">
        <v>3127</v>
      </c>
      <c r="D60" s="32">
        <v>479</v>
      </c>
      <c r="E60" s="13" t="s">
        <v>12</v>
      </c>
      <c r="F60" s="13" t="s">
        <v>4</v>
      </c>
      <c r="G60" s="35">
        <f>Участки[[#This Row],[Площадь]]*Цена!$C$1/100</f>
        <v>670600</v>
      </c>
      <c r="H60" s="40" t="e">
        <f>VLOOKUP(Участки[[#This Row],[Номер участка]],Договоры7[#All],2,FALSE)</f>
        <v>#N/A</v>
      </c>
      <c r="I60" s="13" t="str">
        <f>IF(ISNUMBER(Участки[[#This Row],[УНП]]),VLOOKUP(Участки[[#This Row],[УНП]],Покупатели[[УНП]:[ФИО Покупателя]],2,FALSE),"")</f>
        <v/>
      </c>
    </row>
    <row r="61" spans="1:9" s="10" customFormat="1" x14ac:dyDescent="0.3">
      <c r="A61" s="9">
        <f t="shared" si="0"/>
        <v>60</v>
      </c>
      <c r="B61" s="11" t="s">
        <v>7</v>
      </c>
      <c r="C61" s="12">
        <v>3128</v>
      </c>
      <c r="D61" s="32">
        <v>480</v>
      </c>
      <c r="E61" s="13" t="s">
        <v>12</v>
      </c>
      <c r="F61" s="13" t="s">
        <v>4</v>
      </c>
      <c r="G61" s="35">
        <f>Участки[[#This Row],[Площадь]]*Цена!$C$1/100</f>
        <v>672000</v>
      </c>
      <c r="H61" s="40" t="e">
        <f>VLOOKUP(Участки[[#This Row],[Номер участка]],Договоры7[#All],2,FALSE)</f>
        <v>#N/A</v>
      </c>
      <c r="I61" s="13" t="str">
        <f>IF(ISNUMBER(Участки[[#This Row],[УНП]]),VLOOKUP(Участки[[#This Row],[УНП]],Покупатели[[УНП]:[ФИО Покупателя]],2,FALSE),"")</f>
        <v/>
      </c>
    </row>
    <row r="62" spans="1:9" s="10" customFormat="1" x14ac:dyDescent="0.3">
      <c r="A62" s="9">
        <f t="shared" si="0"/>
        <v>61</v>
      </c>
      <c r="B62" s="11" t="s">
        <v>7</v>
      </c>
      <c r="C62" s="12">
        <v>3116</v>
      </c>
      <c r="D62" s="32">
        <v>478</v>
      </c>
      <c r="E62" s="13" t="s">
        <v>12</v>
      </c>
      <c r="F62" s="13" t="s">
        <v>4</v>
      </c>
      <c r="G62" s="35">
        <f>Участки[[#This Row],[Площадь]]*Цена!$C$1/100</f>
        <v>669200</v>
      </c>
      <c r="H62" s="40" t="e">
        <f>VLOOKUP(Участки[[#This Row],[Номер участка]],Договоры7[#All],2,FALSE)</f>
        <v>#N/A</v>
      </c>
      <c r="I62" s="13" t="str">
        <f>IF(ISNUMBER(Участки[[#This Row],[УНП]]),VLOOKUP(Участки[[#This Row],[УНП]],Покупатели[[УНП]:[ФИО Покупателя]],2,FALSE),"")</f>
        <v/>
      </c>
    </row>
    <row r="63" spans="1:9" s="10" customFormat="1" x14ac:dyDescent="0.3">
      <c r="A63" s="9">
        <f t="shared" si="0"/>
        <v>62</v>
      </c>
      <c r="B63" s="11" t="s">
        <v>7</v>
      </c>
      <c r="C63" s="12">
        <v>3130</v>
      </c>
      <c r="D63" s="32">
        <v>464</v>
      </c>
      <c r="E63" s="13" t="s">
        <v>12</v>
      </c>
      <c r="F63" s="13" t="s">
        <v>4</v>
      </c>
      <c r="G63" s="35">
        <f>Участки[[#This Row],[Площадь]]*Цена!$C$1/100</f>
        <v>649600</v>
      </c>
      <c r="H63" s="40" t="e">
        <f>VLOOKUP(Участки[[#This Row],[Номер участка]],Договоры7[#All],2,FALSE)</f>
        <v>#N/A</v>
      </c>
      <c r="I63" s="13" t="str">
        <f>IF(ISNUMBER(Участки[[#This Row],[УНП]]),VLOOKUP(Участки[[#This Row],[УНП]],Покупатели[[УНП]:[ФИО Покупателя]],2,FALSE),"")</f>
        <v/>
      </c>
    </row>
    <row r="64" spans="1:9" s="10" customFormat="1" x14ac:dyDescent="0.3">
      <c r="A64" s="9">
        <f t="shared" si="0"/>
        <v>63</v>
      </c>
      <c r="B64" s="11" t="s">
        <v>7</v>
      </c>
      <c r="C64" s="12">
        <v>3131</v>
      </c>
      <c r="D64" s="32">
        <v>481</v>
      </c>
      <c r="E64" s="13" t="s">
        <v>12</v>
      </c>
      <c r="F64" s="13" t="s">
        <v>4</v>
      </c>
      <c r="G64" s="35">
        <f>Участки[[#This Row],[Площадь]]*Цена!$C$1/100</f>
        <v>673400</v>
      </c>
      <c r="H64" s="40" t="e">
        <f>VLOOKUP(Участки[[#This Row],[Номер участка]],Договоры7[#All],2,FALSE)</f>
        <v>#N/A</v>
      </c>
      <c r="I64" s="13" t="str">
        <f>IF(ISNUMBER(Участки[[#This Row],[УНП]]),VLOOKUP(Участки[[#This Row],[УНП]],Покупатели[[УНП]:[ФИО Покупателя]],2,FALSE),"")</f>
        <v/>
      </c>
    </row>
    <row r="65" spans="1:9" s="10" customFormat="1" x14ac:dyDescent="0.3">
      <c r="A65" s="9">
        <f t="shared" si="0"/>
        <v>64</v>
      </c>
      <c r="B65" s="11" t="s">
        <v>7</v>
      </c>
      <c r="C65" s="12">
        <v>3132</v>
      </c>
      <c r="D65" s="32">
        <v>480</v>
      </c>
      <c r="E65" s="13" t="s">
        <v>12</v>
      </c>
      <c r="F65" s="13" t="s">
        <v>4</v>
      </c>
      <c r="G65" s="35">
        <f>Участки[[#This Row],[Площадь]]*Цена!$C$1/100</f>
        <v>672000</v>
      </c>
      <c r="H65" s="40" t="e">
        <f>VLOOKUP(Участки[[#This Row],[Номер участка]],Договоры7[#All],2,FALSE)</f>
        <v>#N/A</v>
      </c>
      <c r="I65" s="13" t="str">
        <f>IF(ISNUMBER(Участки[[#This Row],[УНП]]),VLOOKUP(Участки[[#This Row],[УНП]],Покупатели[[УНП]:[ФИО Покупателя]],2,FALSE),"")</f>
        <v/>
      </c>
    </row>
    <row r="66" spans="1:9" s="10" customFormat="1" x14ac:dyDescent="0.3">
      <c r="A66" s="9">
        <f t="shared" si="0"/>
        <v>65</v>
      </c>
      <c r="B66" s="11" t="s">
        <v>7</v>
      </c>
      <c r="C66" s="12">
        <v>3125</v>
      </c>
      <c r="D66" s="32">
        <v>478</v>
      </c>
      <c r="E66" s="13" t="s">
        <v>12</v>
      </c>
      <c r="F66" s="13" t="s">
        <v>4</v>
      </c>
      <c r="G66" s="35">
        <f>Участки[[#This Row],[Площадь]]*Цена!$C$1/100</f>
        <v>669200</v>
      </c>
      <c r="H66" s="40" t="e">
        <f>VLOOKUP(Участки[[#This Row],[Номер участка]],Договоры7[#All],2,FALSE)</f>
        <v>#N/A</v>
      </c>
      <c r="I66" s="13" t="str">
        <f>IF(ISNUMBER(Участки[[#This Row],[УНП]]),VLOOKUP(Участки[[#This Row],[УНП]],Покупатели[[УНП]:[ФИО Покупателя]],2,FALSE),"")</f>
        <v/>
      </c>
    </row>
    <row r="67" spans="1:9" s="10" customFormat="1" x14ac:dyDescent="0.3">
      <c r="A67" s="9">
        <f t="shared" si="0"/>
        <v>66</v>
      </c>
      <c r="B67" s="11" t="s">
        <v>7</v>
      </c>
      <c r="C67" s="12">
        <v>3124</v>
      </c>
      <c r="D67" s="32">
        <v>457</v>
      </c>
      <c r="E67" s="13" t="s">
        <v>12</v>
      </c>
      <c r="F67" s="13" t="s">
        <v>4</v>
      </c>
      <c r="G67" s="35">
        <f>Участки[[#This Row],[Площадь]]*Цена!$C$1/100</f>
        <v>639800</v>
      </c>
      <c r="H67" s="40" t="e">
        <f>VLOOKUP(Участки[[#This Row],[Номер участка]],Договоры7[#All],2,FALSE)</f>
        <v>#N/A</v>
      </c>
      <c r="I67" s="13" t="str">
        <f>IF(ISNUMBER(Участки[[#This Row],[УНП]]),VLOOKUP(Участки[[#This Row],[УНП]],Покупатели[[УНП]:[ФИО Покупателя]],2,FALSE),"")</f>
        <v/>
      </c>
    </row>
    <row r="68" spans="1:9" s="10" customFormat="1" x14ac:dyDescent="0.3">
      <c r="A68" s="9">
        <f t="shared" ref="A68:A131" si="1">A67+1</f>
        <v>67</v>
      </c>
      <c r="B68" s="11" t="s">
        <v>7</v>
      </c>
      <c r="C68" s="12">
        <v>3123</v>
      </c>
      <c r="D68" s="32">
        <v>446</v>
      </c>
      <c r="E68" s="13" t="s">
        <v>12</v>
      </c>
      <c r="F68" s="13" t="s">
        <v>4</v>
      </c>
      <c r="G68" s="35">
        <f>Участки[[#This Row],[Площадь]]*Цена!$C$1/100</f>
        <v>624400</v>
      </c>
      <c r="H68" s="40" t="e">
        <f>VLOOKUP(Участки[[#This Row],[Номер участка]],Договоры7[#All],2,FALSE)</f>
        <v>#N/A</v>
      </c>
      <c r="I68" s="13" t="str">
        <f>IF(ISNUMBER(Участки[[#This Row],[УНП]]),VLOOKUP(Участки[[#This Row],[УНП]],Покупатели[[УНП]:[ФИО Покупателя]],2,FALSE),"")</f>
        <v/>
      </c>
    </row>
    <row r="69" spans="1:9" s="10" customFormat="1" x14ac:dyDescent="0.3">
      <c r="A69" s="9">
        <f t="shared" si="1"/>
        <v>68</v>
      </c>
      <c r="B69" s="11" t="s">
        <v>7</v>
      </c>
      <c r="C69" s="12">
        <v>3122</v>
      </c>
      <c r="D69" s="32">
        <v>444</v>
      </c>
      <c r="E69" s="13" t="s">
        <v>12</v>
      </c>
      <c r="F69" s="13" t="s">
        <v>4</v>
      </c>
      <c r="G69" s="35">
        <f>Участки[[#This Row],[Площадь]]*Цена!$C$1/100</f>
        <v>621600</v>
      </c>
      <c r="H69" s="40" t="e">
        <f>VLOOKUP(Участки[[#This Row],[Номер участка]],Договоры7[#All],2,FALSE)</f>
        <v>#N/A</v>
      </c>
      <c r="I69" s="13" t="str">
        <f>IF(ISNUMBER(Участки[[#This Row],[УНП]]),VLOOKUP(Участки[[#This Row],[УНП]],Покупатели[[УНП]:[ФИО Покупателя]],2,FALSE),"")</f>
        <v/>
      </c>
    </row>
    <row r="70" spans="1:9" s="10" customFormat="1" x14ac:dyDescent="0.3">
      <c r="A70" s="9">
        <f t="shared" si="1"/>
        <v>69</v>
      </c>
      <c r="B70" s="11" t="s">
        <v>7</v>
      </c>
      <c r="C70" s="12">
        <v>3121</v>
      </c>
      <c r="D70" s="32">
        <v>444</v>
      </c>
      <c r="E70" s="13" t="s">
        <v>12</v>
      </c>
      <c r="F70" s="13" t="s">
        <v>4</v>
      </c>
      <c r="G70" s="35">
        <f>Участки[[#This Row],[Площадь]]*Цена!$C$1/100</f>
        <v>621600</v>
      </c>
      <c r="H70" s="40" t="e">
        <f>VLOOKUP(Участки[[#This Row],[Номер участка]],Договоры7[#All],2,FALSE)</f>
        <v>#N/A</v>
      </c>
      <c r="I70" s="13" t="str">
        <f>IF(ISNUMBER(Участки[[#This Row],[УНП]]),VLOOKUP(Участки[[#This Row],[УНП]],Покупатели[[УНП]:[ФИО Покупателя]],2,FALSE),"")</f>
        <v/>
      </c>
    </row>
    <row r="71" spans="1:9" s="10" customFormat="1" x14ac:dyDescent="0.3">
      <c r="A71" s="9">
        <f t="shared" si="1"/>
        <v>70</v>
      </c>
      <c r="B71" s="11" t="s">
        <v>7</v>
      </c>
      <c r="C71" s="12">
        <v>3120</v>
      </c>
      <c r="D71" s="32">
        <v>430</v>
      </c>
      <c r="E71" s="13" t="s">
        <v>12</v>
      </c>
      <c r="F71" s="13" t="s">
        <v>4</v>
      </c>
      <c r="G71" s="35">
        <f>Участки[[#This Row],[Площадь]]*Цена!$C$1/100</f>
        <v>602000</v>
      </c>
      <c r="H71" s="40" t="e">
        <f>VLOOKUP(Участки[[#This Row],[Номер участка]],Договоры7[#All],2,FALSE)</f>
        <v>#N/A</v>
      </c>
      <c r="I71" s="13" t="str">
        <f>IF(ISNUMBER(Участки[[#This Row],[УНП]]),VLOOKUP(Участки[[#This Row],[УНП]],Покупатели[[УНП]:[ФИО Покупателя]],2,FALSE),"")</f>
        <v/>
      </c>
    </row>
    <row r="72" spans="1:9" s="10" customFormat="1" x14ac:dyDescent="0.3">
      <c r="A72" s="9">
        <f t="shared" si="1"/>
        <v>71</v>
      </c>
      <c r="B72" s="11" t="s">
        <v>7</v>
      </c>
      <c r="C72" s="12">
        <v>3113</v>
      </c>
      <c r="D72" s="32">
        <v>447</v>
      </c>
      <c r="E72" s="13" t="s">
        <v>12</v>
      </c>
      <c r="F72" s="13" t="s">
        <v>4</v>
      </c>
      <c r="G72" s="35">
        <f>Участки[[#This Row],[Площадь]]*Цена!$C$1/100</f>
        <v>625800</v>
      </c>
      <c r="H72" s="40" t="e">
        <f>VLOOKUP(Участки[[#This Row],[Номер участка]],Договоры7[#All],2,FALSE)</f>
        <v>#N/A</v>
      </c>
      <c r="I72" s="13" t="str">
        <f>IF(ISNUMBER(Участки[[#This Row],[УНП]]),VLOOKUP(Участки[[#This Row],[УНП]],Покупатели[[УНП]:[ФИО Покупателя]],2,FALSE),"")</f>
        <v/>
      </c>
    </row>
    <row r="73" spans="1:9" s="10" customFormat="1" x14ac:dyDescent="0.3">
      <c r="A73" s="9">
        <f t="shared" si="1"/>
        <v>72</v>
      </c>
      <c r="B73" s="11" t="s">
        <v>7</v>
      </c>
      <c r="C73" s="12">
        <v>3118</v>
      </c>
      <c r="D73" s="32">
        <v>445</v>
      </c>
      <c r="E73" s="13" t="s">
        <v>12</v>
      </c>
      <c r="F73" s="13" t="s">
        <v>4</v>
      </c>
      <c r="G73" s="35">
        <f>Участки[[#This Row],[Площадь]]*Цена!$C$1/100</f>
        <v>623000</v>
      </c>
      <c r="H73" s="40" t="e">
        <f>VLOOKUP(Участки[[#This Row],[Номер участка]],Договоры7[#All],2,FALSE)</f>
        <v>#N/A</v>
      </c>
      <c r="I73" s="13" t="str">
        <f>IF(ISNUMBER(Участки[[#This Row],[УНП]]),VLOOKUP(Участки[[#This Row],[УНП]],Покупатели[[УНП]:[ФИО Покупателя]],2,FALSE),"")</f>
        <v/>
      </c>
    </row>
    <row r="74" spans="1:9" s="10" customFormat="1" x14ac:dyDescent="0.3">
      <c r="A74" s="9">
        <f t="shared" si="1"/>
        <v>73</v>
      </c>
      <c r="B74" s="11" t="s">
        <v>7</v>
      </c>
      <c r="C74" s="12">
        <v>3117</v>
      </c>
      <c r="D74" s="32">
        <v>444</v>
      </c>
      <c r="E74" s="13" t="s">
        <v>12</v>
      </c>
      <c r="F74" s="13" t="s">
        <v>4</v>
      </c>
      <c r="G74" s="35">
        <f>Участки[[#This Row],[Площадь]]*Цена!$C$1/100</f>
        <v>621600</v>
      </c>
      <c r="H74" s="40" t="e">
        <f>VLOOKUP(Участки[[#This Row],[Номер участка]],Договоры7[#All],2,FALSE)</f>
        <v>#N/A</v>
      </c>
      <c r="I74" s="13" t="str">
        <f>IF(ISNUMBER(Участки[[#This Row],[УНП]]),VLOOKUP(Участки[[#This Row],[УНП]],Покупатели[[УНП]:[ФИО Покупателя]],2,FALSE),"")</f>
        <v/>
      </c>
    </row>
    <row r="75" spans="1:9" s="25" customFormat="1" x14ac:dyDescent="0.3">
      <c r="A75" s="37">
        <f t="shared" si="1"/>
        <v>74</v>
      </c>
      <c r="B75" s="7" t="s">
        <v>7</v>
      </c>
      <c r="C75" s="28">
        <v>4311</v>
      </c>
      <c r="D75" s="38">
        <v>589</v>
      </c>
      <c r="E75" s="29" t="s">
        <v>11</v>
      </c>
      <c r="F75" s="29" t="s">
        <v>5</v>
      </c>
      <c r="G75" s="39">
        <f>Участки[[#This Row],[Площадь]]*Цена!$C$1/100</f>
        <v>824600</v>
      </c>
      <c r="H75" s="40" t="e">
        <f>VLOOKUP(Участки[[#This Row],[Номер участка]],Договоры7[#All],2,FALSE)</f>
        <v>#N/A</v>
      </c>
      <c r="I75" s="29" t="str">
        <f>IF(ISNUMBER(Участки[[#This Row],[УНП]]),VLOOKUP(Участки[[#This Row],[УНП]],Покупатели[[УНП]:[ФИО Покупателя]],2,FALSE),"")</f>
        <v/>
      </c>
    </row>
    <row r="76" spans="1:9" s="25" customFormat="1" x14ac:dyDescent="0.3">
      <c r="A76" s="37">
        <f t="shared" si="1"/>
        <v>75</v>
      </c>
      <c r="B76" s="7" t="s">
        <v>7</v>
      </c>
      <c r="C76" s="28">
        <v>4326</v>
      </c>
      <c r="D76" s="38">
        <v>589</v>
      </c>
      <c r="E76" s="29" t="s">
        <v>11</v>
      </c>
      <c r="F76" s="29" t="s">
        <v>5</v>
      </c>
      <c r="G76" s="39">
        <f>Участки[[#This Row],[Площадь]]*Цена!$C$1/100</f>
        <v>824600</v>
      </c>
      <c r="H76" s="40" t="e">
        <f>VLOOKUP(Участки[[#This Row],[Номер участка]],Договоры7[#All],2,FALSE)</f>
        <v>#N/A</v>
      </c>
      <c r="I76" s="29" t="str">
        <f>IF(ISNUMBER(Участки[[#This Row],[УНП]]),VLOOKUP(Участки[[#This Row],[УНП]],Покупатели[[УНП]:[ФИО Покупателя]],2,FALSE),"")</f>
        <v/>
      </c>
    </row>
    <row r="77" spans="1:9" s="25" customFormat="1" x14ac:dyDescent="0.3">
      <c r="A77" s="37">
        <f t="shared" si="1"/>
        <v>76</v>
      </c>
      <c r="B77" s="7" t="s">
        <v>7</v>
      </c>
      <c r="C77" s="28">
        <v>4313</v>
      </c>
      <c r="D77" s="38">
        <v>589</v>
      </c>
      <c r="E77" s="29" t="s">
        <v>11</v>
      </c>
      <c r="F77" s="29" t="s">
        <v>5</v>
      </c>
      <c r="G77" s="39">
        <f>Участки[[#This Row],[Площадь]]*Цена!$C$1/100</f>
        <v>824600</v>
      </c>
      <c r="H77" s="40" t="e">
        <f>VLOOKUP(Участки[[#This Row],[Номер участка]],Договоры7[#All],2,FALSE)</f>
        <v>#N/A</v>
      </c>
      <c r="I77" s="29" t="str">
        <f>IF(ISNUMBER(Участки[[#This Row],[УНП]]),VLOOKUP(Участки[[#This Row],[УНП]],Покупатели[[УНП]:[ФИО Покупателя]],2,FALSE),"")</f>
        <v/>
      </c>
    </row>
    <row r="78" spans="1:9" s="25" customFormat="1" x14ac:dyDescent="0.3">
      <c r="A78" s="37">
        <f t="shared" si="1"/>
        <v>77</v>
      </c>
      <c r="B78" s="7" t="s">
        <v>7</v>
      </c>
      <c r="C78" s="28">
        <v>4314</v>
      </c>
      <c r="D78" s="38">
        <v>589</v>
      </c>
      <c r="E78" s="29" t="s">
        <v>11</v>
      </c>
      <c r="F78" s="29" t="s">
        <v>5</v>
      </c>
      <c r="G78" s="39">
        <f>Участки[[#This Row],[Площадь]]*Цена!$C$1/100</f>
        <v>824600</v>
      </c>
      <c r="H78" s="40">
        <f>VLOOKUP(Участки[[#This Row],[Номер участка]],Договоры7[#All],2,FALSE)</f>
        <v>9</v>
      </c>
      <c r="I78" s="29" t="str">
        <f>IF(ISNUMBER(Участки[[#This Row],[УНП]]),VLOOKUP(Участки[[#This Row],[УНП]],Покупатели[[УНП]:[ФИО Покупателя]],2,FALSE),"")</f>
        <v>Пяткова Татьяна Семеновна</v>
      </c>
    </row>
    <row r="79" spans="1:9" s="25" customFormat="1" x14ac:dyDescent="0.3">
      <c r="A79" s="37">
        <f t="shared" si="1"/>
        <v>78</v>
      </c>
      <c r="B79" s="7" t="s">
        <v>7</v>
      </c>
      <c r="C79" s="28">
        <v>4315</v>
      </c>
      <c r="D79" s="38">
        <v>589</v>
      </c>
      <c r="E79" s="29" t="s">
        <v>11</v>
      </c>
      <c r="F79" s="29" t="s">
        <v>5</v>
      </c>
      <c r="G79" s="39">
        <f>Участки[[#This Row],[Площадь]]*Цена!$C$1/100</f>
        <v>824600</v>
      </c>
      <c r="H79" s="40">
        <f>VLOOKUP(Участки[[#This Row],[Номер участка]],Договоры7[#All],2,FALSE)</f>
        <v>9</v>
      </c>
      <c r="I79" s="29" t="str">
        <f>IF(ISNUMBER(Участки[[#This Row],[УНП]]),VLOOKUP(Участки[[#This Row],[УНП]],Покупатели[[УНП]:[ФИО Покупателя]],2,FALSE),"")</f>
        <v>Пяткова Татьяна Семеновна</v>
      </c>
    </row>
    <row r="80" spans="1:9" s="25" customFormat="1" x14ac:dyDescent="0.3">
      <c r="A80" s="37">
        <f t="shared" si="1"/>
        <v>79</v>
      </c>
      <c r="B80" s="7" t="s">
        <v>7</v>
      </c>
      <c r="C80" s="28">
        <v>4316</v>
      </c>
      <c r="D80" s="38">
        <v>589</v>
      </c>
      <c r="E80" s="29" t="s">
        <v>11</v>
      </c>
      <c r="F80" s="29" t="s">
        <v>5</v>
      </c>
      <c r="G80" s="39">
        <f>Участки[[#This Row],[Площадь]]*Цена!$C$1/100</f>
        <v>824600</v>
      </c>
      <c r="H80" s="40" t="e">
        <f>VLOOKUP(Участки[[#This Row],[Номер участка]],Договоры7[#All],2,FALSE)</f>
        <v>#N/A</v>
      </c>
      <c r="I80" s="29" t="str">
        <f>IF(ISNUMBER(Участки[[#This Row],[УНП]]),VLOOKUP(Участки[[#This Row],[УНП]],Покупатели[[УНП]:[ФИО Покупателя]],2,FALSE),"")</f>
        <v/>
      </c>
    </row>
    <row r="81" spans="1:9" s="25" customFormat="1" x14ac:dyDescent="0.3">
      <c r="A81" s="37">
        <f t="shared" si="1"/>
        <v>80</v>
      </c>
      <c r="B81" s="7" t="s">
        <v>7</v>
      </c>
      <c r="C81" s="28">
        <v>4317</v>
      </c>
      <c r="D81" s="38">
        <v>359</v>
      </c>
      <c r="E81" s="29" t="s">
        <v>11</v>
      </c>
      <c r="F81" s="29" t="s">
        <v>5</v>
      </c>
      <c r="G81" s="39">
        <f>Участки[[#This Row],[Площадь]]*Цена!$C$1/100</f>
        <v>502600</v>
      </c>
      <c r="H81" s="40" t="e">
        <f>VLOOKUP(Участки[[#This Row],[Номер участка]],Договоры7[#All],2,FALSE)</f>
        <v>#N/A</v>
      </c>
      <c r="I81" s="29" t="str">
        <f>IF(ISNUMBER(Участки[[#This Row],[УНП]]),VLOOKUP(Участки[[#This Row],[УНП]],Покупатели[[УНП]:[ФИО Покупателя]],2,FALSE),"")</f>
        <v/>
      </c>
    </row>
    <row r="82" spans="1:9" s="25" customFormat="1" x14ac:dyDescent="0.3">
      <c r="A82" s="37">
        <f t="shared" si="1"/>
        <v>81</v>
      </c>
      <c r="B82" s="7" t="s">
        <v>7</v>
      </c>
      <c r="C82" s="28">
        <v>4318</v>
      </c>
      <c r="D82" s="38">
        <v>359</v>
      </c>
      <c r="E82" s="29" t="s">
        <v>11</v>
      </c>
      <c r="F82" s="29" t="s">
        <v>5</v>
      </c>
      <c r="G82" s="39">
        <f>Участки[[#This Row],[Площадь]]*Цена!$C$1/100</f>
        <v>502600</v>
      </c>
      <c r="H82" s="40" t="e">
        <f>VLOOKUP(Участки[[#This Row],[Номер участка]],Договоры7[#All],2,FALSE)</f>
        <v>#N/A</v>
      </c>
      <c r="I82" s="29" t="str">
        <f>IF(ISNUMBER(Участки[[#This Row],[УНП]]),VLOOKUP(Участки[[#This Row],[УНП]],Покупатели[[УНП]:[ФИО Покупателя]],2,FALSE),"")</f>
        <v/>
      </c>
    </row>
    <row r="83" spans="1:9" s="25" customFormat="1" x14ac:dyDescent="0.3">
      <c r="A83" s="37">
        <f t="shared" si="1"/>
        <v>82</v>
      </c>
      <c r="B83" s="7" t="s">
        <v>7</v>
      </c>
      <c r="C83" s="28">
        <v>4319</v>
      </c>
      <c r="D83" s="38">
        <v>589</v>
      </c>
      <c r="E83" s="29" t="s">
        <v>11</v>
      </c>
      <c r="F83" s="29" t="s">
        <v>5</v>
      </c>
      <c r="G83" s="39">
        <f>Участки[[#This Row],[Площадь]]*Цена!$C$1/100</f>
        <v>824600</v>
      </c>
      <c r="H83" s="40" t="e">
        <f>VLOOKUP(Участки[[#This Row],[Номер участка]],Договоры7[#All],2,FALSE)</f>
        <v>#N/A</v>
      </c>
      <c r="I83" s="29" t="str">
        <f>IF(ISNUMBER(Участки[[#This Row],[УНП]]),VLOOKUP(Участки[[#This Row],[УНП]],Покупатели[[УНП]:[ФИО Покупателя]],2,FALSE),"")</f>
        <v/>
      </c>
    </row>
    <row r="84" spans="1:9" s="25" customFormat="1" x14ac:dyDescent="0.3">
      <c r="A84" s="37">
        <f t="shared" si="1"/>
        <v>83</v>
      </c>
      <c r="B84" s="7" t="s">
        <v>7</v>
      </c>
      <c r="C84" s="28">
        <v>4320</v>
      </c>
      <c r="D84" s="38">
        <v>589</v>
      </c>
      <c r="E84" s="29" t="s">
        <v>11</v>
      </c>
      <c r="F84" s="29" t="s">
        <v>5</v>
      </c>
      <c r="G84" s="39">
        <f>Участки[[#This Row],[Площадь]]*Цена!$C$1/100</f>
        <v>824600</v>
      </c>
      <c r="H84" s="40">
        <f>VLOOKUP(Участки[[#This Row],[Номер участка]],Договоры7[#All],2,FALSE)</f>
        <v>9</v>
      </c>
      <c r="I84" s="29" t="str">
        <f>IF(ISNUMBER(Участки[[#This Row],[УНП]]),VLOOKUP(Участки[[#This Row],[УНП]],Покупатели[[УНП]:[ФИО Покупателя]],2,FALSE),"")</f>
        <v>Пяткова Татьяна Семеновна</v>
      </c>
    </row>
    <row r="85" spans="1:9" s="25" customFormat="1" x14ac:dyDescent="0.3">
      <c r="A85" s="37">
        <f t="shared" si="1"/>
        <v>84</v>
      </c>
      <c r="B85" s="7" t="s">
        <v>7</v>
      </c>
      <c r="C85" s="28">
        <v>4321</v>
      </c>
      <c r="D85" s="38">
        <v>589</v>
      </c>
      <c r="E85" s="29" t="s">
        <v>11</v>
      </c>
      <c r="F85" s="29" t="s">
        <v>5</v>
      </c>
      <c r="G85" s="39">
        <f>Участки[[#This Row],[Площадь]]*Цена!$C$1/100</f>
        <v>824600</v>
      </c>
      <c r="H85" s="40">
        <f>VLOOKUP(Участки[[#This Row],[Номер участка]],Договоры7[#All],2,FALSE)</f>
        <v>10</v>
      </c>
      <c r="I85" s="29" t="str">
        <f>IF(ISNUMBER(Участки[[#This Row],[УНП]]),VLOOKUP(Участки[[#This Row],[УНП]],Покупатели[[УНП]:[ФИО Покупателя]],2,FALSE),"")</f>
        <v>Баяндин Илья Вячеславович</v>
      </c>
    </row>
    <row r="86" spans="1:9" s="25" customFormat="1" x14ac:dyDescent="0.3">
      <c r="A86" s="37">
        <f t="shared" si="1"/>
        <v>85</v>
      </c>
      <c r="B86" s="7" t="s">
        <v>7</v>
      </c>
      <c r="C86" s="28">
        <v>4322</v>
      </c>
      <c r="D86" s="38">
        <v>589</v>
      </c>
      <c r="E86" s="29" t="s">
        <v>11</v>
      </c>
      <c r="F86" s="29" t="s">
        <v>5</v>
      </c>
      <c r="G86" s="39">
        <f>Участки[[#This Row],[Площадь]]*Цена!$C$1/100</f>
        <v>824600</v>
      </c>
      <c r="H86" s="40" t="e">
        <f>VLOOKUP(Участки[[#This Row],[Номер участка]],Договоры7[#All],2,FALSE)</f>
        <v>#N/A</v>
      </c>
      <c r="I86" s="29" t="str">
        <f>IF(ISNUMBER(Участки[[#This Row],[УНП]]),VLOOKUP(Участки[[#This Row],[УНП]],Покупатели[[УНП]:[ФИО Покупателя]],2,FALSE),"")</f>
        <v/>
      </c>
    </row>
    <row r="87" spans="1:9" s="25" customFormat="1" x14ac:dyDescent="0.3">
      <c r="A87" s="37">
        <f t="shared" si="1"/>
        <v>86</v>
      </c>
      <c r="B87" s="7" t="s">
        <v>7</v>
      </c>
      <c r="C87" s="28">
        <v>4323</v>
      </c>
      <c r="D87" s="38">
        <v>589</v>
      </c>
      <c r="E87" s="29" t="s">
        <v>11</v>
      </c>
      <c r="F87" s="29" t="s">
        <v>5</v>
      </c>
      <c r="G87" s="39">
        <f>Участки[[#This Row],[Площадь]]*Цена!$C$1/100</f>
        <v>824600</v>
      </c>
      <c r="H87" s="40" t="e">
        <f>VLOOKUP(Участки[[#This Row],[Номер участка]],Договоры7[#All],2,FALSE)</f>
        <v>#N/A</v>
      </c>
      <c r="I87" s="29" t="str">
        <f>IF(ISNUMBER(Участки[[#This Row],[УНП]]),VLOOKUP(Участки[[#This Row],[УНП]],Покупатели[[УНП]:[ФИО Покупателя]],2,FALSE),"")</f>
        <v/>
      </c>
    </row>
    <row r="88" spans="1:9" s="25" customFormat="1" x14ac:dyDescent="0.3">
      <c r="A88" s="37">
        <f t="shared" si="1"/>
        <v>87</v>
      </c>
      <c r="B88" s="7" t="s">
        <v>7</v>
      </c>
      <c r="C88" s="28">
        <v>4324</v>
      </c>
      <c r="D88" s="38">
        <v>589</v>
      </c>
      <c r="E88" s="29" t="s">
        <v>11</v>
      </c>
      <c r="F88" s="29" t="s">
        <v>5</v>
      </c>
      <c r="G88" s="39">
        <f>Участки[[#This Row],[Площадь]]*Цена!$C$1/100</f>
        <v>824600</v>
      </c>
      <c r="H88" s="40" t="e">
        <f>VLOOKUP(Участки[[#This Row],[Номер участка]],Договоры7[#All],2,FALSE)</f>
        <v>#N/A</v>
      </c>
      <c r="I88" s="29" t="str">
        <f>IF(ISNUMBER(Участки[[#This Row],[УНП]]),VLOOKUP(Участки[[#This Row],[УНП]],Покупатели[[УНП]:[ФИО Покупателя]],2,FALSE),"")</f>
        <v/>
      </c>
    </row>
    <row r="89" spans="1:9" s="25" customFormat="1" x14ac:dyDescent="0.3">
      <c r="A89" s="37">
        <f t="shared" si="1"/>
        <v>88</v>
      </c>
      <c r="B89" s="7" t="s">
        <v>7</v>
      </c>
      <c r="C89" s="28">
        <v>4325</v>
      </c>
      <c r="D89" s="38">
        <v>609</v>
      </c>
      <c r="E89" s="29" t="s">
        <v>11</v>
      </c>
      <c r="F89" s="29" t="s">
        <v>5</v>
      </c>
      <c r="G89" s="39">
        <f>Участки[[#This Row],[Площадь]]*Цена!$C$1/100</f>
        <v>852600</v>
      </c>
      <c r="H89" s="40" t="e">
        <f>VLOOKUP(Участки[[#This Row],[Номер участка]],Договоры7[#All],2,FALSE)</f>
        <v>#N/A</v>
      </c>
      <c r="I89" s="29" t="str">
        <f>IF(ISNUMBER(Участки[[#This Row],[УНП]]),VLOOKUP(Участки[[#This Row],[УНП]],Покупатели[[УНП]:[ФИО Покупателя]],2,FALSE),"")</f>
        <v/>
      </c>
    </row>
    <row r="90" spans="1:9" s="25" customFormat="1" x14ac:dyDescent="0.3">
      <c r="A90" s="37">
        <f t="shared" si="1"/>
        <v>89</v>
      </c>
      <c r="B90" s="7" t="s">
        <v>7</v>
      </c>
      <c r="C90" s="28"/>
      <c r="D90" s="38">
        <v>468</v>
      </c>
      <c r="E90" s="29" t="s">
        <v>10</v>
      </c>
      <c r="F90" s="29" t="s">
        <v>5</v>
      </c>
      <c r="G90" s="39">
        <f>Участки[[#This Row],[Площадь]]*Цена!$C$1/100</f>
        <v>655200</v>
      </c>
      <c r="H90" s="40" t="e">
        <f>VLOOKUP(Участки[[#This Row],[Номер участка]],Договоры7[#All],2,FALSE)</f>
        <v>#N/A</v>
      </c>
      <c r="I90" s="29" t="str">
        <f>IF(ISNUMBER(Участки[[#This Row],[УНП]]),VLOOKUP(Участки[[#This Row],[УНП]],Покупатели[[УНП]:[ФИО Покупателя]],2,FALSE),"")</f>
        <v/>
      </c>
    </row>
    <row r="91" spans="1:9" s="25" customFormat="1" x14ac:dyDescent="0.3">
      <c r="A91" s="37">
        <f t="shared" si="1"/>
        <v>90</v>
      </c>
      <c r="B91" s="7" t="s">
        <v>7</v>
      </c>
      <c r="C91" s="28"/>
      <c r="D91" s="38">
        <v>496</v>
      </c>
      <c r="E91" s="29" t="s">
        <v>10</v>
      </c>
      <c r="F91" s="29" t="s">
        <v>5</v>
      </c>
      <c r="G91" s="39">
        <f>Участки[[#This Row],[Площадь]]*Цена!$C$1/100</f>
        <v>694400</v>
      </c>
      <c r="H91" s="40" t="e">
        <f>VLOOKUP(Участки[[#This Row],[Номер участка]],Договоры7[#All],2,FALSE)</f>
        <v>#N/A</v>
      </c>
      <c r="I91" s="29" t="str">
        <f>IF(ISNUMBER(Участки[[#This Row],[УНП]]),VLOOKUP(Участки[[#This Row],[УНП]],Покупатели[[УНП]:[ФИО Покупателя]],2,FALSE),"")</f>
        <v/>
      </c>
    </row>
    <row r="92" spans="1:9" s="25" customFormat="1" x14ac:dyDescent="0.3">
      <c r="A92" s="37">
        <f t="shared" si="1"/>
        <v>91</v>
      </c>
      <c r="B92" s="7" t="s">
        <v>7</v>
      </c>
      <c r="C92" s="28"/>
      <c r="D92" s="38">
        <v>495</v>
      </c>
      <c r="E92" s="29" t="s">
        <v>10</v>
      </c>
      <c r="F92" s="29" t="s">
        <v>5</v>
      </c>
      <c r="G92" s="39">
        <f>Участки[[#This Row],[Площадь]]*Цена!$C$1/100</f>
        <v>693000</v>
      </c>
      <c r="H92" s="40" t="e">
        <f>VLOOKUP(Участки[[#This Row],[Номер участка]],Договоры7[#All],2,FALSE)</f>
        <v>#N/A</v>
      </c>
      <c r="I92" s="29" t="str">
        <f>IF(ISNUMBER(Участки[[#This Row],[УНП]]),VLOOKUP(Участки[[#This Row],[УНП]],Покупатели[[УНП]:[ФИО Покупателя]],2,FALSE),"")</f>
        <v/>
      </c>
    </row>
    <row r="93" spans="1:9" s="25" customFormat="1" x14ac:dyDescent="0.3">
      <c r="A93" s="37">
        <f t="shared" si="1"/>
        <v>92</v>
      </c>
      <c r="B93" s="7" t="s">
        <v>7</v>
      </c>
      <c r="C93" s="28"/>
      <c r="D93" s="38">
        <v>495</v>
      </c>
      <c r="E93" s="29" t="s">
        <v>10</v>
      </c>
      <c r="F93" s="29" t="s">
        <v>5</v>
      </c>
      <c r="G93" s="39">
        <f>Участки[[#This Row],[Площадь]]*Цена!$C$1/100</f>
        <v>693000</v>
      </c>
      <c r="H93" s="40" t="e">
        <f>VLOOKUP(Участки[[#This Row],[Номер участка]],Договоры7[#All],2,FALSE)</f>
        <v>#N/A</v>
      </c>
      <c r="I93" s="29" t="str">
        <f>IF(ISNUMBER(Участки[[#This Row],[УНП]]),VLOOKUP(Участки[[#This Row],[УНП]],Покупатели[[УНП]:[ФИО Покупателя]],2,FALSE),"")</f>
        <v/>
      </c>
    </row>
    <row r="94" spans="1:9" s="25" customFormat="1" x14ac:dyDescent="0.3">
      <c r="A94" s="37">
        <f t="shared" si="1"/>
        <v>93</v>
      </c>
      <c r="B94" s="7" t="s">
        <v>7</v>
      </c>
      <c r="C94" s="28"/>
      <c r="D94" s="38">
        <v>495</v>
      </c>
      <c r="E94" s="29" t="s">
        <v>10</v>
      </c>
      <c r="F94" s="29" t="s">
        <v>5</v>
      </c>
      <c r="G94" s="39">
        <f>Участки[[#This Row],[Площадь]]*Цена!$C$1/100</f>
        <v>693000</v>
      </c>
      <c r="H94" s="40" t="e">
        <f>VLOOKUP(Участки[[#This Row],[Номер участка]],Договоры7[#All],2,FALSE)</f>
        <v>#N/A</v>
      </c>
      <c r="I94" s="29" t="str">
        <f>IF(ISNUMBER(Участки[[#This Row],[УНП]]),VLOOKUP(Участки[[#This Row],[УНП]],Покупатели[[УНП]:[ФИО Покупателя]],2,FALSE),"")</f>
        <v/>
      </c>
    </row>
    <row r="95" spans="1:9" s="25" customFormat="1" x14ac:dyDescent="0.3">
      <c r="A95" s="37">
        <f t="shared" si="1"/>
        <v>94</v>
      </c>
      <c r="B95" s="7" t="s">
        <v>7</v>
      </c>
      <c r="C95" s="28"/>
      <c r="D95" s="38">
        <v>495</v>
      </c>
      <c r="E95" s="29" t="s">
        <v>10</v>
      </c>
      <c r="F95" s="29" t="s">
        <v>5</v>
      </c>
      <c r="G95" s="39">
        <f>Участки[[#This Row],[Площадь]]*Цена!$C$1/100</f>
        <v>693000</v>
      </c>
      <c r="H95" s="40" t="e">
        <f>VLOOKUP(Участки[[#This Row],[Номер участка]],Договоры7[#All],2,FALSE)</f>
        <v>#N/A</v>
      </c>
      <c r="I95" s="29" t="str">
        <f>IF(ISNUMBER(Участки[[#This Row],[УНП]]),VLOOKUP(Участки[[#This Row],[УНП]],Покупатели[[УНП]:[ФИО Покупателя]],2,FALSE),"")</f>
        <v/>
      </c>
    </row>
    <row r="96" spans="1:9" s="25" customFormat="1" x14ac:dyDescent="0.3">
      <c r="A96" s="37">
        <f t="shared" si="1"/>
        <v>95</v>
      </c>
      <c r="B96" s="7" t="s">
        <v>7</v>
      </c>
      <c r="C96" s="28"/>
      <c r="D96" s="38">
        <v>494</v>
      </c>
      <c r="E96" s="29" t="s">
        <v>10</v>
      </c>
      <c r="F96" s="29" t="s">
        <v>5</v>
      </c>
      <c r="G96" s="39">
        <f>Участки[[#This Row],[Площадь]]*Цена!$C$1/100</f>
        <v>691600</v>
      </c>
      <c r="H96" s="40" t="e">
        <f>VLOOKUP(Участки[[#This Row],[Номер участка]],Договоры7[#All],2,FALSE)</f>
        <v>#N/A</v>
      </c>
      <c r="I96" s="29" t="str">
        <f>IF(ISNUMBER(Участки[[#This Row],[УНП]]),VLOOKUP(Участки[[#This Row],[УНП]],Покупатели[[УНП]:[ФИО Покупателя]],2,FALSE),"")</f>
        <v/>
      </c>
    </row>
    <row r="97" spans="1:9" s="37" customFormat="1" x14ac:dyDescent="0.3">
      <c r="A97" s="37">
        <f t="shared" si="1"/>
        <v>96</v>
      </c>
      <c r="B97" s="7" t="s">
        <v>7</v>
      </c>
      <c r="C97" s="28"/>
      <c r="D97" s="38">
        <v>494</v>
      </c>
      <c r="E97" s="29" t="s">
        <v>10</v>
      </c>
      <c r="F97" s="29" t="s">
        <v>5</v>
      </c>
      <c r="G97" s="39">
        <f>Участки[[#This Row],[Площадь]]*Цена!$C$1/100</f>
        <v>691600</v>
      </c>
      <c r="H97" s="40" t="e">
        <f>VLOOKUP(Участки[[#This Row],[Номер участка]],Договоры7[#All],2,FALSE)</f>
        <v>#N/A</v>
      </c>
      <c r="I97" s="29" t="str">
        <f>IF(ISNUMBER(Участки[[#This Row],[УНП]]),VLOOKUP(Участки[[#This Row],[УНП]],Покупатели[[УНП]:[ФИО Покупателя]],2,FALSE),"")</f>
        <v/>
      </c>
    </row>
    <row r="98" spans="1:9" s="37" customFormat="1" x14ac:dyDescent="0.3">
      <c r="A98" s="37">
        <f t="shared" si="1"/>
        <v>97</v>
      </c>
      <c r="B98" s="7" t="s">
        <v>7</v>
      </c>
      <c r="C98" s="28"/>
      <c r="D98" s="38">
        <v>494</v>
      </c>
      <c r="E98" s="29" t="s">
        <v>10</v>
      </c>
      <c r="F98" s="29" t="s">
        <v>5</v>
      </c>
      <c r="G98" s="39">
        <f>Участки[[#This Row],[Площадь]]*Цена!$C$1/100</f>
        <v>691600</v>
      </c>
      <c r="H98" s="40" t="e">
        <f>VLOOKUP(Участки[[#This Row],[Номер участка]],Договоры7[#All],2,FALSE)</f>
        <v>#N/A</v>
      </c>
      <c r="I98" s="29" t="str">
        <f>IF(ISNUMBER(Участки[[#This Row],[УНП]]),VLOOKUP(Участки[[#This Row],[УНП]],Покупатели[[УНП]:[ФИО Покупателя]],2,FALSE),"")</f>
        <v/>
      </c>
    </row>
    <row r="99" spans="1:9" s="37" customFormat="1" x14ac:dyDescent="0.3">
      <c r="A99" s="37">
        <f t="shared" si="1"/>
        <v>98</v>
      </c>
      <c r="B99" s="7" t="s">
        <v>7</v>
      </c>
      <c r="C99" s="28"/>
      <c r="D99" s="38">
        <v>493</v>
      </c>
      <c r="E99" s="29" t="s">
        <v>10</v>
      </c>
      <c r="F99" s="29" t="s">
        <v>5</v>
      </c>
      <c r="G99" s="39">
        <f>Участки[[#This Row],[Площадь]]*Цена!$C$1/100</f>
        <v>690200</v>
      </c>
      <c r="H99" s="40" t="e">
        <f>VLOOKUP(Участки[[#This Row],[Номер участка]],Договоры7[#All],2,FALSE)</f>
        <v>#N/A</v>
      </c>
      <c r="I99" s="29" t="str">
        <f>IF(ISNUMBER(Участки[[#This Row],[УНП]]),VLOOKUP(Участки[[#This Row],[УНП]],Покупатели[[УНП]:[ФИО Покупателя]],2,FALSE),"")</f>
        <v/>
      </c>
    </row>
    <row r="100" spans="1:9" s="37" customFormat="1" x14ac:dyDescent="0.3">
      <c r="A100" s="37">
        <f t="shared" si="1"/>
        <v>99</v>
      </c>
      <c r="B100" s="7" t="s">
        <v>7</v>
      </c>
      <c r="C100" s="28"/>
      <c r="D100" s="38">
        <v>493</v>
      </c>
      <c r="E100" s="29" t="s">
        <v>10</v>
      </c>
      <c r="F100" s="29" t="s">
        <v>5</v>
      </c>
      <c r="G100" s="39">
        <f>Участки[[#This Row],[Площадь]]*Цена!$C$1/100</f>
        <v>690200</v>
      </c>
      <c r="H100" s="40" t="e">
        <f>VLOOKUP(Участки[[#This Row],[Номер участка]],Договоры7[#All],2,FALSE)</f>
        <v>#N/A</v>
      </c>
      <c r="I100" s="29" t="str">
        <f>IF(ISNUMBER(Участки[[#This Row],[УНП]]),VLOOKUP(Участки[[#This Row],[УНП]],Покупатели[[УНП]:[ФИО Покупателя]],2,FALSE),"")</f>
        <v/>
      </c>
    </row>
    <row r="101" spans="1:9" s="37" customFormat="1" x14ac:dyDescent="0.3">
      <c r="A101" s="37">
        <f t="shared" si="1"/>
        <v>100</v>
      </c>
      <c r="B101" s="7" t="s">
        <v>7</v>
      </c>
      <c r="C101" s="28"/>
      <c r="D101" s="38">
        <v>521</v>
      </c>
      <c r="E101" s="29" t="s">
        <v>10</v>
      </c>
      <c r="F101" s="29" t="s">
        <v>5</v>
      </c>
      <c r="G101" s="39">
        <f>Участки[[#This Row],[Площадь]]*Цена!$C$1/100</f>
        <v>729400</v>
      </c>
      <c r="H101" s="40" t="e">
        <f>VLOOKUP(Участки[[#This Row],[Номер участка]],Договоры7[#All],2,FALSE)</f>
        <v>#N/A</v>
      </c>
      <c r="I101" s="29" t="str">
        <f>IF(ISNUMBER(Участки[[#This Row],[УНП]]),VLOOKUP(Участки[[#This Row],[УНП]],Покупатели[[УНП]:[ФИО Покупателя]],2,FALSE),"")</f>
        <v/>
      </c>
    </row>
    <row r="102" spans="1:9" s="37" customFormat="1" x14ac:dyDescent="0.3">
      <c r="A102" s="37">
        <f t="shared" si="1"/>
        <v>101</v>
      </c>
      <c r="B102" s="7" t="s">
        <v>7</v>
      </c>
      <c r="C102" s="28"/>
      <c r="D102" s="38">
        <v>473</v>
      </c>
      <c r="E102" s="29" t="s">
        <v>10</v>
      </c>
      <c r="F102" s="29" t="s">
        <v>5</v>
      </c>
      <c r="G102" s="39">
        <f>Участки[[#This Row],[Площадь]]*Цена!$C$1/100</f>
        <v>662200</v>
      </c>
      <c r="H102" s="40" t="e">
        <f>VLOOKUP(Участки[[#This Row],[Номер участка]],Договоры7[#All],2,FALSE)</f>
        <v>#N/A</v>
      </c>
      <c r="I102" s="29" t="str">
        <f>IF(ISNUMBER(Участки[[#This Row],[УНП]]),VLOOKUP(Участки[[#This Row],[УНП]],Покупатели[[УНП]:[ФИО Покупателя]],2,FALSE),"")</f>
        <v/>
      </c>
    </row>
    <row r="103" spans="1:9" s="37" customFormat="1" x14ac:dyDescent="0.3">
      <c r="A103" s="37">
        <f t="shared" si="1"/>
        <v>102</v>
      </c>
      <c r="B103" s="7" t="s">
        <v>7</v>
      </c>
      <c r="C103" s="28"/>
      <c r="D103" s="38">
        <v>507</v>
      </c>
      <c r="E103" s="29" t="s">
        <v>10</v>
      </c>
      <c r="F103" s="29" t="s">
        <v>5</v>
      </c>
      <c r="G103" s="39">
        <f>Участки[[#This Row],[Площадь]]*Цена!$C$1/100</f>
        <v>709800</v>
      </c>
      <c r="H103" s="40" t="e">
        <f>VLOOKUP(Участки[[#This Row],[Номер участка]],Договоры7[#All],2,FALSE)</f>
        <v>#N/A</v>
      </c>
      <c r="I103" s="29" t="str">
        <f>IF(ISNUMBER(Участки[[#This Row],[УНП]]),VLOOKUP(Участки[[#This Row],[УНП]],Покупатели[[УНП]:[ФИО Покупателя]],2,FALSE),"")</f>
        <v/>
      </c>
    </row>
    <row r="104" spans="1:9" s="37" customFormat="1" x14ac:dyDescent="0.3">
      <c r="A104" s="37">
        <f t="shared" si="1"/>
        <v>103</v>
      </c>
      <c r="B104" s="7" t="s">
        <v>7</v>
      </c>
      <c r="C104" s="28"/>
      <c r="D104" s="38">
        <v>512</v>
      </c>
      <c r="E104" s="29" t="s">
        <v>10</v>
      </c>
      <c r="F104" s="29" t="s">
        <v>5</v>
      </c>
      <c r="G104" s="39">
        <f>Участки[[#This Row],[Площадь]]*Цена!$C$1/100</f>
        <v>716800</v>
      </c>
      <c r="H104" s="40" t="e">
        <f>VLOOKUP(Участки[[#This Row],[Номер участка]],Договоры7[#All],2,FALSE)</f>
        <v>#N/A</v>
      </c>
      <c r="I104" s="29" t="str">
        <f>IF(ISNUMBER(Участки[[#This Row],[УНП]]),VLOOKUP(Участки[[#This Row],[УНП]],Покупатели[[УНП]:[ФИО Покупателя]],2,FALSE),"")</f>
        <v/>
      </c>
    </row>
    <row r="105" spans="1:9" s="37" customFormat="1" x14ac:dyDescent="0.3">
      <c r="A105" s="37">
        <f t="shared" si="1"/>
        <v>104</v>
      </c>
      <c r="B105" s="7" t="s">
        <v>7</v>
      </c>
      <c r="C105" s="28"/>
      <c r="D105" s="38">
        <v>516</v>
      </c>
      <c r="E105" s="29" t="s">
        <v>10</v>
      </c>
      <c r="F105" s="29" t="s">
        <v>5</v>
      </c>
      <c r="G105" s="39">
        <f>Участки[[#This Row],[Площадь]]*Цена!$C$1/100</f>
        <v>722400</v>
      </c>
      <c r="H105" s="40" t="e">
        <f>VLOOKUP(Участки[[#This Row],[Номер участка]],Договоры7[#All],2,FALSE)</f>
        <v>#N/A</v>
      </c>
      <c r="I105" s="29" t="str">
        <f>IF(ISNUMBER(Участки[[#This Row],[УНП]]),VLOOKUP(Участки[[#This Row],[УНП]],Покупатели[[УНП]:[ФИО Покупателя]],2,FALSE),"")</f>
        <v/>
      </c>
    </row>
    <row r="106" spans="1:9" s="37" customFormat="1" x14ac:dyDescent="0.3">
      <c r="A106" s="37">
        <f t="shared" si="1"/>
        <v>105</v>
      </c>
      <c r="B106" s="7" t="s">
        <v>7</v>
      </c>
      <c r="C106" s="28"/>
      <c r="D106" s="38">
        <v>521</v>
      </c>
      <c r="E106" s="29" t="s">
        <v>10</v>
      </c>
      <c r="F106" s="29" t="s">
        <v>5</v>
      </c>
      <c r="G106" s="39">
        <f>Участки[[#This Row],[Площадь]]*Цена!$C$1/100</f>
        <v>729400</v>
      </c>
      <c r="H106" s="40" t="e">
        <f>VLOOKUP(Участки[[#This Row],[Номер участка]],Договоры7[#All],2,FALSE)</f>
        <v>#N/A</v>
      </c>
      <c r="I106" s="29" t="str">
        <f>IF(ISNUMBER(Участки[[#This Row],[УНП]]),VLOOKUP(Участки[[#This Row],[УНП]],Покупатели[[УНП]:[ФИО Покупателя]],2,FALSE),"")</f>
        <v/>
      </c>
    </row>
    <row r="107" spans="1:9" s="37" customFormat="1" x14ac:dyDescent="0.3">
      <c r="A107" s="37">
        <f t="shared" si="1"/>
        <v>106</v>
      </c>
      <c r="B107" s="7" t="s">
        <v>7</v>
      </c>
      <c r="C107" s="28"/>
      <c r="D107" s="38">
        <v>526</v>
      </c>
      <c r="E107" s="29" t="s">
        <v>10</v>
      </c>
      <c r="F107" s="29" t="s">
        <v>5</v>
      </c>
      <c r="G107" s="39">
        <f>Участки[[#This Row],[Площадь]]*Цена!$C$1/100</f>
        <v>736400</v>
      </c>
      <c r="H107" s="40" t="e">
        <f>VLOOKUP(Участки[[#This Row],[Номер участка]],Договоры7[#All],2,FALSE)</f>
        <v>#N/A</v>
      </c>
      <c r="I107" s="29" t="str">
        <f>IF(ISNUMBER(Участки[[#This Row],[УНП]]),VLOOKUP(Участки[[#This Row],[УНП]],Покупатели[[УНП]:[ФИО Покупателя]],2,FALSE),"")</f>
        <v/>
      </c>
    </row>
    <row r="108" spans="1:9" s="37" customFormat="1" x14ac:dyDescent="0.3">
      <c r="A108" s="37">
        <f t="shared" si="1"/>
        <v>107</v>
      </c>
      <c r="B108" s="7" t="s">
        <v>7</v>
      </c>
      <c r="C108" s="28"/>
      <c r="D108" s="38">
        <v>530</v>
      </c>
      <c r="E108" s="29" t="s">
        <v>10</v>
      </c>
      <c r="F108" s="29" t="s">
        <v>5</v>
      </c>
      <c r="G108" s="39">
        <f>Участки[[#This Row],[Площадь]]*Цена!$C$1/100</f>
        <v>742000</v>
      </c>
      <c r="H108" s="40" t="e">
        <f>VLOOKUP(Участки[[#This Row],[Номер участка]],Договоры7[#All],2,FALSE)</f>
        <v>#N/A</v>
      </c>
      <c r="I108" s="29" t="str">
        <f>IF(ISNUMBER(Участки[[#This Row],[УНП]]),VLOOKUP(Участки[[#This Row],[УНП]],Покупатели[[УНП]:[ФИО Покупателя]],2,FALSE),"")</f>
        <v/>
      </c>
    </row>
    <row r="109" spans="1:9" s="37" customFormat="1" x14ac:dyDescent="0.3">
      <c r="A109" s="37">
        <f t="shared" si="1"/>
        <v>108</v>
      </c>
      <c r="B109" s="7" t="s">
        <v>7</v>
      </c>
      <c r="C109" s="28"/>
      <c r="D109" s="38">
        <v>535</v>
      </c>
      <c r="E109" s="29" t="s">
        <v>10</v>
      </c>
      <c r="F109" s="29" t="s">
        <v>5</v>
      </c>
      <c r="G109" s="39">
        <f>Участки[[#This Row],[Площадь]]*Цена!$C$1/100</f>
        <v>749000</v>
      </c>
      <c r="H109" s="40" t="e">
        <f>VLOOKUP(Участки[[#This Row],[Номер участка]],Договоры7[#All],2,FALSE)</f>
        <v>#N/A</v>
      </c>
      <c r="I109" s="29" t="str">
        <f>IF(ISNUMBER(Участки[[#This Row],[УНП]]),VLOOKUP(Участки[[#This Row],[УНП]],Покупатели[[УНП]:[ФИО Покупателя]],2,FALSE),"")</f>
        <v/>
      </c>
    </row>
    <row r="110" spans="1:9" s="37" customFormat="1" x14ac:dyDescent="0.3">
      <c r="A110" s="37">
        <f t="shared" si="1"/>
        <v>109</v>
      </c>
      <c r="B110" s="7" t="s">
        <v>7</v>
      </c>
      <c r="C110" s="28"/>
      <c r="D110" s="38">
        <v>540</v>
      </c>
      <c r="E110" s="29" t="s">
        <v>10</v>
      </c>
      <c r="F110" s="29" t="s">
        <v>5</v>
      </c>
      <c r="G110" s="39">
        <f>Участки[[#This Row],[Площадь]]*Цена!$C$1/100</f>
        <v>756000</v>
      </c>
      <c r="H110" s="40" t="e">
        <f>VLOOKUP(Участки[[#This Row],[Номер участка]],Договоры7[#All],2,FALSE)</f>
        <v>#N/A</v>
      </c>
      <c r="I110" s="29" t="str">
        <f>IF(ISNUMBER(Участки[[#This Row],[УНП]]),VLOOKUP(Участки[[#This Row],[УНП]],Покупатели[[УНП]:[ФИО Покупателя]],2,FALSE),"")</f>
        <v/>
      </c>
    </row>
    <row r="111" spans="1:9" s="37" customFormat="1" x14ac:dyDescent="0.3">
      <c r="A111" s="37">
        <f t="shared" si="1"/>
        <v>110</v>
      </c>
      <c r="B111" s="7" t="s">
        <v>7</v>
      </c>
      <c r="C111" s="28"/>
      <c r="D111" s="38">
        <v>544</v>
      </c>
      <c r="E111" s="29" t="s">
        <v>10</v>
      </c>
      <c r="F111" s="29" t="s">
        <v>5</v>
      </c>
      <c r="G111" s="39">
        <f>Участки[[#This Row],[Площадь]]*Цена!$C$1/100</f>
        <v>761600</v>
      </c>
      <c r="H111" s="40" t="e">
        <f>VLOOKUP(Участки[[#This Row],[Номер участка]],Договоры7[#All],2,FALSE)</f>
        <v>#N/A</v>
      </c>
      <c r="I111" s="29" t="str">
        <f>IF(ISNUMBER(Участки[[#This Row],[УНП]]),VLOOKUP(Участки[[#This Row],[УНП]],Покупатели[[УНП]:[ФИО Покупателя]],2,FALSE),"")</f>
        <v/>
      </c>
    </row>
    <row r="112" spans="1:9" s="37" customFormat="1" x14ac:dyDescent="0.3">
      <c r="A112" s="37">
        <f t="shared" si="1"/>
        <v>111</v>
      </c>
      <c r="B112" s="7" t="s">
        <v>7</v>
      </c>
      <c r="C112" s="28"/>
      <c r="D112" s="38">
        <v>550</v>
      </c>
      <c r="E112" s="29" t="s">
        <v>10</v>
      </c>
      <c r="F112" s="29" t="s">
        <v>5</v>
      </c>
      <c r="G112" s="39">
        <f>Участки[[#This Row],[Площадь]]*Цена!$C$1/100</f>
        <v>770000</v>
      </c>
      <c r="H112" s="40" t="e">
        <f>VLOOKUP(Участки[[#This Row],[Номер участка]],Договоры7[#All],2,FALSE)</f>
        <v>#N/A</v>
      </c>
      <c r="I112" s="29" t="str">
        <f>IF(ISNUMBER(Участки[[#This Row],[УНП]]),VLOOKUP(Участки[[#This Row],[УНП]],Покупатели[[УНП]:[ФИО Покупателя]],2,FALSE),"")</f>
        <v/>
      </c>
    </row>
    <row r="113" spans="1:9" s="37" customFormat="1" x14ac:dyDescent="0.3">
      <c r="A113" s="37">
        <f t="shared" si="1"/>
        <v>112</v>
      </c>
      <c r="B113" s="7" t="s">
        <v>7</v>
      </c>
      <c r="C113" s="28"/>
      <c r="D113" s="38">
        <v>592</v>
      </c>
      <c r="E113" s="29" t="s">
        <v>10</v>
      </c>
      <c r="F113" s="29" t="s">
        <v>5</v>
      </c>
      <c r="G113" s="39">
        <f>Участки[[#This Row],[Площадь]]*Цена!$C$1/100</f>
        <v>828800</v>
      </c>
      <c r="H113" s="40" t="e">
        <f>VLOOKUP(Участки[[#This Row],[Номер участка]],Договоры7[#All],2,FALSE)</f>
        <v>#N/A</v>
      </c>
      <c r="I113" s="29" t="str">
        <f>IF(ISNUMBER(Участки[[#This Row],[УНП]]),VLOOKUP(Участки[[#This Row],[УНП]],Покупатели[[УНП]:[ФИО Покупателя]],2,FALSE),"")</f>
        <v/>
      </c>
    </row>
    <row r="114" spans="1:9" s="37" customFormat="1" x14ac:dyDescent="0.3">
      <c r="A114" s="37">
        <f t="shared" si="1"/>
        <v>113</v>
      </c>
      <c r="B114" s="7" t="s">
        <v>7</v>
      </c>
      <c r="C114" s="28"/>
      <c r="D114" s="38">
        <v>517</v>
      </c>
      <c r="E114" s="29" t="s">
        <v>10</v>
      </c>
      <c r="F114" s="29" t="s">
        <v>5</v>
      </c>
      <c r="G114" s="39">
        <f>Участки[[#This Row],[Площадь]]*Цена!$C$1/100</f>
        <v>723800</v>
      </c>
      <c r="H114" s="40" t="e">
        <f>VLOOKUP(Участки[[#This Row],[Номер участка]],Договоры7[#All],2,FALSE)</f>
        <v>#N/A</v>
      </c>
      <c r="I114" s="29" t="str">
        <f>IF(ISNUMBER(Участки[[#This Row],[УНП]]),VLOOKUP(Участки[[#This Row],[УНП]],Покупатели[[УНП]:[ФИО Покупателя]],2,FALSE),"")</f>
        <v/>
      </c>
    </row>
    <row r="115" spans="1:9" s="37" customFormat="1" x14ac:dyDescent="0.3">
      <c r="A115" s="37">
        <f t="shared" si="1"/>
        <v>114</v>
      </c>
      <c r="B115" s="7" t="s">
        <v>7</v>
      </c>
      <c r="C115" s="28"/>
      <c r="D115" s="38">
        <v>508</v>
      </c>
      <c r="E115" s="29" t="s">
        <v>10</v>
      </c>
      <c r="F115" s="29" t="s">
        <v>5</v>
      </c>
      <c r="G115" s="39">
        <f>Участки[[#This Row],[Площадь]]*Цена!$C$1/100</f>
        <v>711200</v>
      </c>
      <c r="H115" s="40" t="e">
        <f>VLOOKUP(Участки[[#This Row],[Номер участка]],Договоры7[#All],2,FALSE)</f>
        <v>#N/A</v>
      </c>
      <c r="I115" s="29" t="str">
        <f>IF(ISNUMBER(Участки[[#This Row],[УНП]]),VLOOKUP(Участки[[#This Row],[УНП]],Покупатели[[УНП]:[ФИО Покупателя]],2,FALSE),"")</f>
        <v/>
      </c>
    </row>
    <row r="116" spans="1:9" s="37" customFormat="1" x14ac:dyDescent="0.3">
      <c r="A116" s="37">
        <f t="shared" si="1"/>
        <v>115</v>
      </c>
      <c r="B116" s="7" t="s">
        <v>7</v>
      </c>
      <c r="C116" s="28"/>
      <c r="D116" s="38">
        <v>513</v>
      </c>
      <c r="E116" s="29" t="s">
        <v>10</v>
      </c>
      <c r="F116" s="29" t="s">
        <v>5</v>
      </c>
      <c r="G116" s="39">
        <f>Участки[[#This Row],[Площадь]]*Цена!$C$1/100</f>
        <v>718200</v>
      </c>
      <c r="H116" s="40" t="e">
        <f>VLOOKUP(Участки[[#This Row],[Номер участка]],Договоры7[#All],2,FALSE)</f>
        <v>#N/A</v>
      </c>
      <c r="I116" s="29" t="str">
        <f>IF(ISNUMBER(Участки[[#This Row],[УНП]]),VLOOKUP(Участки[[#This Row],[УНП]],Покупатели[[УНП]:[ФИО Покупателя]],2,FALSE),"")</f>
        <v/>
      </c>
    </row>
    <row r="117" spans="1:9" s="37" customFormat="1" x14ac:dyDescent="0.3">
      <c r="A117" s="37">
        <f t="shared" si="1"/>
        <v>116</v>
      </c>
      <c r="B117" s="7" t="s">
        <v>7</v>
      </c>
      <c r="C117" s="28"/>
      <c r="D117" s="38">
        <v>517</v>
      </c>
      <c r="E117" s="29" t="s">
        <v>10</v>
      </c>
      <c r="F117" s="29" t="s">
        <v>5</v>
      </c>
      <c r="G117" s="39">
        <f>Участки[[#This Row],[Площадь]]*Цена!$C$1/100</f>
        <v>723800</v>
      </c>
      <c r="H117" s="40" t="e">
        <f>VLOOKUP(Участки[[#This Row],[Номер участка]],Договоры7[#All],2,FALSE)</f>
        <v>#N/A</v>
      </c>
      <c r="I117" s="29" t="str">
        <f>IF(ISNUMBER(Участки[[#This Row],[УНП]]),VLOOKUP(Участки[[#This Row],[УНП]],Покупатели[[УНП]:[ФИО Покупателя]],2,FALSE),"")</f>
        <v/>
      </c>
    </row>
    <row r="118" spans="1:9" s="37" customFormat="1" x14ac:dyDescent="0.3">
      <c r="A118" s="37">
        <f t="shared" si="1"/>
        <v>117</v>
      </c>
      <c r="B118" s="7" t="s">
        <v>7</v>
      </c>
      <c r="C118" s="28"/>
      <c r="D118" s="38">
        <v>522</v>
      </c>
      <c r="E118" s="29" t="s">
        <v>10</v>
      </c>
      <c r="F118" s="29" t="s">
        <v>5</v>
      </c>
      <c r="G118" s="39">
        <f>Участки[[#This Row],[Площадь]]*Цена!$C$1/100</f>
        <v>730800</v>
      </c>
      <c r="H118" s="40" t="e">
        <f>VLOOKUP(Участки[[#This Row],[Номер участка]],Договоры7[#All],2,FALSE)</f>
        <v>#N/A</v>
      </c>
      <c r="I118" s="29" t="str">
        <f>IF(ISNUMBER(Участки[[#This Row],[УНП]]),VLOOKUP(Участки[[#This Row],[УНП]],Покупатели[[УНП]:[ФИО Покупателя]],2,FALSE),"")</f>
        <v/>
      </c>
    </row>
    <row r="119" spans="1:9" s="37" customFormat="1" x14ac:dyDescent="0.3">
      <c r="A119" s="37">
        <f t="shared" si="1"/>
        <v>118</v>
      </c>
      <c r="B119" s="7" t="s">
        <v>7</v>
      </c>
      <c r="C119" s="28"/>
      <c r="D119" s="38">
        <v>527</v>
      </c>
      <c r="E119" s="29" t="s">
        <v>10</v>
      </c>
      <c r="F119" s="29" t="s">
        <v>5</v>
      </c>
      <c r="G119" s="39">
        <f>Участки[[#This Row],[Площадь]]*Цена!$C$1/100</f>
        <v>737800</v>
      </c>
      <c r="H119" s="40" t="e">
        <f>VLOOKUP(Участки[[#This Row],[Номер участка]],Договоры7[#All],2,FALSE)</f>
        <v>#N/A</v>
      </c>
      <c r="I119" s="29" t="str">
        <f>IF(ISNUMBER(Участки[[#This Row],[УНП]]),VLOOKUP(Участки[[#This Row],[УНП]],Покупатели[[УНП]:[ФИО Покупателя]],2,FALSE),"")</f>
        <v/>
      </c>
    </row>
    <row r="120" spans="1:9" s="37" customFormat="1" x14ac:dyDescent="0.3">
      <c r="A120" s="37">
        <f t="shared" si="1"/>
        <v>119</v>
      </c>
      <c r="B120" s="7" t="s">
        <v>7</v>
      </c>
      <c r="C120" s="28"/>
      <c r="D120" s="38">
        <v>532</v>
      </c>
      <c r="E120" s="29" t="s">
        <v>10</v>
      </c>
      <c r="F120" s="29" t="s">
        <v>5</v>
      </c>
      <c r="G120" s="39">
        <f>Участки[[#This Row],[Площадь]]*Цена!$C$1/100</f>
        <v>744800</v>
      </c>
      <c r="H120" s="40" t="e">
        <f>VLOOKUP(Участки[[#This Row],[Номер участка]],Договоры7[#All],2,FALSE)</f>
        <v>#N/A</v>
      </c>
      <c r="I120" s="29" t="str">
        <f>IF(ISNUMBER(Участки[[#This Row],[УНП]]),VLOOKUP(Участки[[#This Row],[УНП]],Покупатели[[УНП]:[ФИО Покупателя]],2,FALSE),"")</f>
        <v/>
      </c>
    </row>
    <row r="121" spans="1:9" s="37" customFormat="1" x14ac:dyDescent="0.3">
      <c r="A121" s="37">
        <f t="shared" si="1"/>
        <v>120</v>
      </c>
      <c r="B121" s="7" t="s">
        <v>7</v>
      </c>
      <c r="C121" s="28"/>
      <c r="D121" s="38">
        <v>536</v>
      </c>
      <c r="E121" s="29" t="s">
        <v>10</v>
      </c>
      <c r="F121" s="29" t="s">
        <v>5</v>
      </c>
      <c r="G121" s="39">
        <f>Участки[[#This Row],[Площадь]]*Цена!$C$1/100</f>
        <v>750400</v>
      </c>
      <c r="H121" s="40" t="e">
        <f>VLOOKUP(Участки[[#This Row],[Номер участка]],Договоры7[#All],2,FALSE)</f>
        <v>#N/A</v>
      </c>
      <c r="I121" s="29" t="str">
        <f>IF(ISNUMBER(Участки[[#This Row],[УНП]]),VLOOKUP(Участки[[#This Row],[УНП]],Покупатели[[УНП]:[ФИО Покупателя]],2,FALSE),"")</f>
        <v/>
      </c>
    </row>
    <row r="122" spans="1:9" s="37" customFormat="1" x14ac:dyDescent="0.3">
      <c r="A122" s="37">
        <f t="shared" si="1"/>
        <v>121</v>
      </c>
      <c r="B122" s="7" t="s">
        <v>7</v>
      </c>
      <c r="C122" s="28"/>
      <c r="D122" s="38">
        <v>541</v>
      </c>
      <c r="E122" s="29" t="s">
        <v>10</v>
      </c>
      <c r="F122" s="29" t="s">
        <v>5</v>
      </c>
      <c r="G122" s="39">
        <f>Участки[[#This Row],[Площадь]]*Цена!$C$1/100</f>
        <v>757400</v>
      </c>
      <c r="H122" s="40" t="e">
        <f>VLOOKUP(Участки[[#This Row],[Номер участка]],Договоры7[#All],2,FALSE)</f>
        <v>#N/A</v>
      </c>
      <c r="I122" s="29" t="str">
        <f>IF(ISNUMBER(Участки[[#This Row],[УНП]]),VLOOKUP(Участки[[#This Row],[УНП]],Покупатели[[УНП]:[ФИО Покупателя]],2,FALSE),"")</f>
        <v/>
      </c>
    </row>
    <row r="123" spans="1:9" s="37" customFormat="1" x14ac:dyDescent="0.3">
      <c r="A123" s="37">
        <f t="shared" si="1"/>
        <v>122</v>
      </c>
      <c r="B123" s="7" t="s">
        <v>7</v>
      </c>
      <c r="C123" s="28"/>
      <c r="D123" s="38">
        <v>546</v>
      </c>
      <c r="E123" s="29" t="s">
        <v>10</v>
      </c>
      <c r="F123" s="29" t="s">
        <v>5</v>
      </c>
      <c r="G123" s="39">
        <f>Участки[[#This Row],[Площадь]]*Цена!$C$1/100</f>
        <v>764400</v>
      </c>
      <c r="H123" s="40" t="e">
        <f>VLOOKUP(Участки[[#This Row],[Номер участка]],Договоры7[#All],2,FALSE)</f>
        <v>#N/A</v>
      </c>
      <c r="I123" s="29" t="str">
        <f>IF(ISNUMBER(Участки[[#This Row],[УНП]]),VLOOKUP(Участки[[#This Row],[УНП]],Покупатели[[УНП]:[ФИО Покупателя]],2,FALSE),"")</f>
        <v/>
      </c>
    </row>
    <row r="124" spans="1:9" s="37" customFormat="1" x14ac:dyDescent="0.3">
      <c r="A124" s="37">
        <f t="shared" si="1"/>
        <v>123</v>
      </c>
      <c r="B124" s="7" t="s">
        <v>7</v>
      </c>
      <c r="C124" s="28"/>
      <c r="D124" s="38">
        <v>550</v>
      </c>
      <c r="E124" s="29" t="s">
        <v>10</v>
      </c>
      <c r="F124" s="29" t="s">
        <v>5</v>
      </c>
      <c r="G124" s="39">
        <f>Участки[[#This Row],[Площадь]]*Цена!$C$1/100</f>
        <v>770000</v>
      </c>
      <c r="H124" s="40" t="e">
        <f>VLOOKUP(Участки[[#This Row],[Номер участка]],Договоры7[#All],2,FALSE)</f>
        <v>#N/A</v>
      </c>
      <c r="I124" s="29" t="str">
        <f>IF(ISNUMBER(Участки[[#This Row],[УНП]]),VLOOKUP(Участки[[#This Row],[УНП]],Покупатели[[УНП]:[ФИО Покупателя]],2,FALSE),"")</f>
        <v/>
      </c>
    </row>
    <row r="125" spans="1:9" s="37" customFormat="1" x14ac:dyDescent="0.3">
      <c r="A125" s="37">
        <f t="shared" si="1"/>
        <v>124</v>
      </c>
      <c r="B125" s="7" t="s">
        <v>7</v>
      </c>
      <c r="C125" s="28"/>
      <c r="D125" s="38">
        <v>540</v>
      </c>
      <c r="E125" s="29" t="s">
        <v>10</v>
      </c>
      <c r="F125" s="29" t="s">
        <v>5</v>
      </c>
      <c r="G125" s="39">
        <f>Участки[[#This Row],[Площадь]]*Цена!$C$1/100</f>
        <v>756000</v>
      </c>
      <c r="H125" s="40" t="e">
        <f>VLOOKUP(Участки[[#This Row],[Номер участка]],Договоры7[#All],2,FALSE)</f>
        <v>#N/A</v>
      </c>
      <c r="I125" s="29" t="str">
        <f>IF(ISNUMBER(Участки[[#This Row],[УНП]]),VLOOKUP(Участки[[#This Row],[УНП]],Покупатели[[УНП]:[ФИО Покупателя]],2,FALSE),"")</f>
        <v/>
      </c>
    </row>
    <row r="126" spans="1:9" s="37" customFormat="1" x14ac:dyDescent="0.3">
      <c r="A126" s="61">
        <f t="shared" si="1"/>
        <v>125</v>
      </c>
      <c r="B126" s="7" t="s">
        <v>7</v>
      </c>
      <c r="C126" s="28">
        <v>4262</v>
      </c>
      <c r="D126" s="38">
        <v>554</v>
      </c>
      <c r="E126" s="29" t="s">
        <v>10</v>
      </c>
      <c r="F126" s="29" t="s">
        <v>5</v>
      </c>
      <c r="G126" s="39">
        <f>Участки[[#This Row],[Площадь]]*Цена!$C$1/100</f>
        <v>775600</v>
      </c>
      <c r="H126" s="40" t="e">
        <f>VLOOKUP(Участки[[#This Row],[Номер участка]],Договоры7[#All],2,FALSE)</f>
        <v>#N/A</v>
      </c>
      <c r="I126" s="29" t="str">
        <f>IF(ISNUMBER(Участки[[#This Row],[УНП]]),VLOOKUP(Участки[[#This Row],[УНП]],Покупатели[[УНП]:[ФИО Покупателя]],2,FALSE),"")</f>
        <v/>
      </c>
    </row>
    <row r="127" spans="1:9" s="37" customFormat="1" x14ac:dyDescent="0.3">
      <c r="A127" s="61">
        <f t="shared" si="1"/>
        <v>126</v>
      </c>
      <c r="B127" s="7" t="s">
        <v>7</v>
      </c>
      <c r="C127" s="60">
        <v>4285</v>
      </c>
      <c r="D127" s="59">
        <v>572</v>
      </c>
      <c r="E127" s="29" t="s">
        <v>10</v>
      </c>
      <c r="F127" s="29" t="s">
        <v>5</v>
      </c>
      <c r="G127" s="39">
        <f>Участки[[#This Row],[Площадь]]*Цена!$C$1/100</f>
        <v>800800</v>
      </c>
      <c r="H127" s="40" t="e">
        <f>VLOOKUP(Участки[[#This Row],[Номер участка]],Договоры7[#All],2,FALSE)</f>
        <v>#N/A</v>
      </c>
      <c r="I127" s="29" t="str">
        <f>IF(ISNUMBER(Участки[[#This Row],[УНП]]),VLOOKUP(Участки[[#This Row],[УНП]],Покупатели[[УНП]:[ФИО Покупателя]],2,FALSE),"")</f>
        <v/>
      </c>
    </row>
    <row r="128" spans="1:9" s="37" customFormat="1" x14ac:dyDescent="0.3">
      <c r="A128" s="61">
        <f t="shared" si="1"/>
        <v>127</v>
      </c>
      <c r="B128" s="7" t="s">
        <v>7</v>
      </c>
      <c r="C128" s="28">
        <v>4264</v>
      </c>
      <c r="D128" s="38">
        <v>731</v>
      </c>
      <c r="E128" s="29" t="s">
        <v>10</v>
      </c>
      <c r="F128" s="29" t="s">
        <v>5</v>
      </c>
      <c r="G128" s="39">
        <f>Участки[[#This Row],[Площадь]]*Цена!$C$1/100</f>
        <v>1023400</v>
      </c>
      <c r="H128" s="40" t="e">
        <f>VLOOKUP(Участки[[#This Row],[Номер участка]],Договоры7[#All],2,FALSE)</f>
        <v>#N/A</v>
      </c>
      <c r="I128" s="29" t="str">
        <f>IF(ISNUMBER(Участки[[#This Row],[УНП]]),VLOOKUP(Участки[[#This Row],[УНП]],Покупатели[[УНП]:[ФИО Покупателя]],2,FALSE),"")</f>
        <v/>
      </c>
    </row>
    <row r="129" spans="1:9" s="37" customFormat="1" x14ac:dyDescent="0.3">
      <c r="A129" s="61">
        <f t="shared" si="1"/>
        <v>128</v>
      </c>
      <c r="B129" s="7" t="s">
        <v>7</v>
      </c>
      <c r="C129" s="28">
        <v>4265</v>
      </c>
      <c r="D129" s="38">
        <v>663</v>
      </c>
      <c r="E129" s="29" t="s">
        <v>10</v>
      </c>
      <c r="F129" s="29" t="s">
        <v>5</v>
      </c>
      <c r="G129" s="39">
        <f>Участки[[#This Row],[Площадь]]*Цена!$C$1/100</f>
        <v>928200</v>
      </c>
      <c r="H129" s="40" t="e">
        <f>VLOOKUP(Участки[[#This Row],[Номер участка]],Договоры7[#All],2,FALSE)</f>
        <v>#N/A</v>
      </c>
      <c r="I129" s="29" t="str">
        <f>IF(ISNUMBER(Участки[[#This Row],[УНП]]),VLOOKUP(Участки[[#This Row],[УНП]],Покупатели[[УНП]:[ФИО Покупателя]],2,FALSE),"")</f>
        <v/>
      </c>
    </row>
    <row r="130" spans="1:9" s="37" customFormat="1" x14ac:dyDescent="0.3">
      <c r="A130" s="61">
        <f t="shared" si="1"/>
        <v>129</v>
      </c>
      <c r="B130" s="7" t="s">
        <v>7</v>
      </c>
      <c r="C130" s="28">
        <v>4266</v>
      </c>
      <c r="D130" s="59">
        <v>576</v>
      </c>
      <c r="E130" s="29" t="s">
        <v>10</v>
      </c>
      <c r="F130" s="29" t="s">
        <v>5</v>
      </c>
      <c r="G130" s="39">
        <f>Участки[[#This Row],[Площадь]]*Цена!$C$1/100</f>
        <v>806400</v>
      </c>
      <c r="H130" s="40" t="e">
        <f>VLOOKUP(Участки[[#This Row],[Номер участка]],Договоры7[#All],2,FALSE)</f>
        <v>#N/A</v>
      </c>
      <c r="I130" s="29" t="str">
        <f>IF(ISNUMBER(Участки[[#This Row],[УНП]]),VLOOKUP(Участки[[#This Row],[УНП]],Покупатели[[УНП]:[ФИО Покупателя]],2,FALSE),"")</f>
        <v/>
      </c>
    </row>
    <row r="131" spans="1:9" s="37" customFormat="1" x14ac:dyDescent="0.3">
      <c r="A131" s="61">
        <f t="shared" si="1"/>
        <v>130</v>
      </c>
      <c r="B131" s="7" t="s">
        <v>7</v>
      </c>
      <c r="C131" s="28">
        <v>4267</v>
      </c>
      <c r="D131" s="38">
        <v>579</v>
      </c>
      <c r="E131" s="29" t="s">
        <v>10</v>
      </c>
      <c r="F131" s="29" t="s">
        <v>5</v>
      </c>
      <c r="G131" s="39">
        <f>Участки[[#This Row],[Площадь]]*Цена!$C$1/100</f>
        <v>810600</v>
      </c>
      <c r="H131" s="40" t="e">
        <f>VLOOKUP(Участки[[#This Row],[Номер участка]],Договоры7[#All],2,FALSE)</f>
        <v>#N/A</v>
      </c>
      <c r="I131" s="29" t="str">
        <f>IF(ISNUMBER(Участки[[#This Row],[УНП]]),VLOOKUP(Участки[[#This Row],[УНП]],Покупатели[[УНП]:[ФИО Покупателя]],2,FALSE),"")</f>
        <v/>
      </c>
    </row>
    <row r="132" spans="1:9" s="37" customFormat="1" x14ac:dyDescent="0.3">
      <c r="A132" s="61">
        <f t="shared" ref="A132:A195" si="2">A131+1</f>
        <v>131</v>
      </c>
      <c r="B132" s="7" t="s">
        <v>7</v>
      </c>
      <c r="C132" s="28">
        <v>4268</v>
      </c>
      <c r="D132" s="59">
        <v>583</v>
      </c>
      <c r="E132" s="29" t="s">
        <v>10</v>
      </c>
      <c r="F132" s="29" t="s">
        <v>5</v>
      </c>
      <c r="G132" s="39">
        <f>Участки[[#This Row],[Площадь]]*Цена!$C$1/100</f>
        <v>816200</v>
      </c>
      <c r="H132" s="40" t="e">
        <f>VLOOKUP(Участки[[#This Row],[Номер участка]],Договоры7[#All],2,FALSE)</f>
        <v>#N/A</v>
      </c>
      <c r="I132" s="29" t="str">
        <f>IF(ISNUMBER(Участки[[#This Row],[УНП]]),VLOOKUP(Участки[[#This Row],[УНП]],Покупатели[[УНП]:[ФИО Покупателя]],2,FALSE),"")</f>
        <v/>
      </c>
    </row>
    <row r="133" spans="1:9" s="37" customFormat="1" x14ac:dyDescent="0.3">
      <c r="A133" s="61">
        <f t="shared" si="2"/>
        <v>132</v>
      </c>
      <c r="B133" s="7" t="s">
        <v>7</v>
      </c>
      <c r="C133" s="28">
        <v>4269</v>
      </c>
      <c r="D133" s="59">
        <v>587</v>
      </c>
      <c r="E133" s="29" t="s">
        <v>10</v>
      </c>
      <c r="F133" s="29" t="s">
        <v>5</v>
      </c>
      <c r="G133" s="39">
        <f>Участки[[#This Row],[Площадь]]*Цена!$C$1/100</f>
        <v>821800</v>
      </c>
      <c r="H133" s="40" t="e">
        <f>VLOOKUP(Участки[[#This Row],[Номер участка]],Договоры7[#All],2,FALSE)</f>
        <v>#N/A</v>
      </c>
      <c r="I133" s="29" t="str">
        <f>IF(ISNUMBER(Участки[[#This Row],[УНП]]),VLOOKUP(Участки[[#This Row],[УНП]],Покупатели[[УНП]:[ФИО Покупателя]],2,FALSE),"")</f>
        <v/>
      </c>
    </row>
    <row r="134" spans="1:9" s="37" customFormat="1" x14ac:dyDescent="0.3">
      <c r="A134" s="61">
        <f t="shared" si="2"/>
        <v>133</v>
      </c>
      <c r="B134" s="7" t="s">
        <v>7</v>
      </c>
      <c r="C134" s="28">
        <v>4270</v>
      </c>
      <c r="D134" s="38">
        <v>685</v>
      </c>
      <c r="E134" s="29" t="s">
        <v>10</v>
      </c>
      <c r="F134" s="29" t="s">
        <v>5</v>
      </c>
      <c r="G134" s="39">
        <f>Участки[[#This Row],[Площадь]]*Цена!$C$1/100</f>
        <v>959000</v>
      </c>
      <c r="H134" s="40" t="e">
        <f>VLOOKUP(Участки[[#This Row],[Номер участка]],Договоры7[#All],2,FALSE)</f>
        <v>#N/A</v>
      </c>
      <c r="I134" s="29" t="str">
        <f>IF(ISNUMBER(Участки[[#This Row],[УНП]]),VLOOKUP(Участки[[#This Row],[УНП]],Покупатели[[УНП]:[ФИО Покупателя]],2,FALSE),"")</f>
        <v/>
      </c>
    </row>
    <row r="135" spans="1:9" s="37" customFormat="1" x14ac:dyDescent="0.3">
      <c r="A135" s="61">
        <f t="shared" si="2"/>
        <v>134</v>
      </c>
      <c r="B135" s="7" t="s">
        <v>7</v>
      </c>
      <c r="C135" s="28">
        <v>4271</v>
      </c>
      <c r="D135" s="38">
        <v>767</v>
      </c>
      <c r="E135" s="29" t="s">
        <v>10</v>
      </c>
      <c r="F135" s="29" t="s">
        <v>5</v>
      </c>
      <c r="G135" s="39">
        <f>Участки[[#This Row],[Площадь]]*Цена!$C$1/100</f>
        <v>1073800</v>
      </c>
      <c r="H135" s="40" t="e">
        <f>VLOOKUP(Участки[[#This Row],[Номер участка]],Договоры7[#All],2,FALSE)</f>
        <v>#N/A</v>
      </c>
      <c r="I135" s="29" t="str">
        <f>IF(ISNUMBER(Участки[[#This Row],[УНП]]),VLOOKUP(Участки[[#This Row],[УНП]],Покупатели[[УНП]:[ФИО Покупателя]],2,FALSE),"")</f>
        <v/>
      </c>
    </row>
    <row r="136" spans="1:9" s="37" customFormat="1" x14ac:dyDescent="0.3">
      <c r="A136" s="61">
        <f t="shared" si="2"/>
        <v>135</v>
      </c>
      <c r="B136" s="7" t="s">
        <v>7</v>
      </c>
      <c r="C136" s="28">
        <v>4272</v>
      </c>
      <c r="D136" s="59">
        <v>609</v>
      </c>
      <c r="E136" s="29" t="s">
        <v>10</v>
      </c>
      <c r="F136" s="29" t="s">
        <v>5</v>
      </c>
      <c r="G136" s="39">
        <f>Участки[[#This Row],[Площадь]]*Цена!$C$1/100</f>
        <v>852600</v>
      </c>
      <c r="H136" s="40" t="e">
        <f>VLOOKUP(Участки[[#This Row],[Номер участка]],Договоры7[#All],2,FALSE)</f>
        <v>#N/A</v>
      </c>
      <c r="I136" s="29" t="str">
        <f>IF(ISNUMBER(Участки[[#This Row],[УНП]]),VLOOKUP(Участки[[#This Row],[УНП]],Покупатели[[УНП]:[ФИО Покупателя]],2,FALSE),"")</f>
        <v/>
      </c>
    </row>
    <row r="137" spans="1:9" s="37" customFormat="1" x14ac:dyDescent="0.3">
      <c r="A137" s="61">
        <f t="shared" si="2"/>
        <v>136</v>
      </c>
      <c r="B137" s="7" t="s">
        <v>7</v>
      </c>
      <c r="C137" s="28">
        <v>4273</v>
      </c>
      <c r="D137" s="59">
        <v>590</v>
      </c>
      <c r="E137" s="29" t="s">
        <v>10</v>
      </c>
      <c r="F137" s="29" t="s">
        <v>5</v>
      </c>
      <c r="G137" s="39">
        <f>Участки[[#This Row],[Площадь]]*Цена!$C$1/100</f>
        <v>826000</v>
      </c>
      <c r="H137" s="40" t="e">
        <f>VLOOKUP(Участки[[#This Row],[Номер участка]],Договоры7[#All],2,FALSE)</f>
        <v>#N/A</v>
      </c>
      <c r="I137" s="29" t="str">
        <f>IF(ISNUMBER(Участки[[#This Row],[УНП]]),VLOOKUP(Участки[[#This Row],[УНП]],Покупатели[[УНП]:[ФИО Покупателя]],2,FALSE),"")</f>
        <v/>
      </c>
    </row>
    <row r="138" spans="1:9" s="37" customFormat="1" x14ac:dyDescent="0.3">
      <c r="A138" s="61">
        <f t="shared" si="2"/>
        <v>137</v>
      </c>
      <c r="B138" s="7" t="s">
        <v>7</v>
      </c>
      <c r="C138" s="28">
        <v>4274</v>
      </c>
      <c r="D138" s="38">
        <v>577</v>
      </c>
      <c r="E138" s="29" t="s">
        <v>10</v>
      </c>
      <c r="F138" s="29" t="s">
        <v>5</v>
      </c>
      <c r="G138" s="39">
        <f>Участки[[#This Row],[Площадь]]*Цена!$C$1/100</f>
        <v>807800</v>
      </c>
      <c r="H138" s="40" t="e">
        <f>VLOOKUP(Участки[[#This Row],[Номер участка]],Договоры7[#All],2,FALSE)</f>
        <v>#N/A</v>
      </c>
      <c r="I138" s="29" t="str">
        <f>IF(ISNUMBER(Участки[[#This Row],[УНП]]),VLOOKUP(Участки[[#This Row],[УНП]],Покупатели[[УНП]:[ФИО Покупателя]],2,FALSE),"")</f>
        <v/>
      </c>
    </row>
    <row r="139" spans="1:9" s="37" customFormat="1" x14ac:dyDescent="0.3">
      <c r="A139" s="61">
        <f t="shared" si="2"/>
        <v>138</v>
      </c>
      <c r="B139" s="7" t="s">
        <v>7</v>
      </c>
      <c r="C139" s="28">
        <v>4275</v>
      </c>
      <c r="D139" s="38">
        <v>569</v>
      </c>
      <c r="E139" s="29" t="s">
        <v>10</v>
      </c>
      <c r="F139" s="29" t="s">
        <v>5</v>
      </c>
      <c r="G139" s="39">
        <f>Участки[[#This Row],[Площадь]]*Цена!$C$1/100</f>
        <v>796600</v>
      </c>
      <c r="H139" s="40">
        <f>VLOOKUP(Участки[[#This Row],[Номер участка]],Договоры7[#All],2,FALSE)</f>
        <v>4</v>
      </c>
      <c r="I139" s="29" t="str">
        <f>IF(ISNUMBER(Участки[[#This Row],[УНП]]),VLOOKUP(Участки[[#This Row],[УНП]],Покупатели[[УНП]:[ФИО Покупателя]],2,FALSE),"")</f>
        <v>Экимян Лусине Агасиевна</v>
      </c>
    </row>
    <row r="140" spans="1:9" s="37" customFormat="1" x14ac:dyDescent="0.3">
      <c r="A140" s="61">
        <f t="shared" si="2"/>
        <v>139</v>
      </c>
      <c r="B140" s="7" t="s">
        <v>7</v>
      </c>
      <c r="C140" s="28">
        <v>4276</v>
      </c>
      <c r="D140" s="59">
        <v>732</v>
      </c>
      <c r="E140" s="29" t="s">
        <v>10</v>
      </c>
      <c r="F140" s="29" t="s">
        <v>5</v>
      </c>
      <c r="G140" s="39">
        <f>Участки[[#This Row],[Площадь]]*Цена!$C$1/100</f>
        <v>1024800</v>
      </c>
      <c r="H140" s="40" t="e">
        <f>VLOOKUP(Участки[[#This Row],[Номер участка]],Договоры7[#All],2,FALSE)</f>
        <v>#N/A</v>
      </c>
      <c r="I140" s="29" t="str">
        <f>IF(ISNUMBER(Участки[[#This Row],[УНП]]),VLOOKUP(Участки[[#This Row],[УНП]],Покупатели[[УНП]:[ФИО Покупателя]],2,FALSE),"")</f>
        <v/>
      </c>
    </row>
    <row r="141" spans="1:9" s="37" customFormat="1" x14ac:dyDescent="0.3">
      <c r="A141" s="61">
        <f t="shared" si="2"/>
        <v>140</v>
      </c>
      <c r="B141" s="7" t="s">
        <v>7</v>
      </c>
      <c r="C141" s="28">
        <v>4277</v>
      </c>
      <c r="D141" s="59">
        <v>664</v>
      </c>
      <c r="E141" s="29" t="s">
        <v>10</v>
      </c>
      <c r="F141" s="29" t="s">
        <v>5</v>
      </c>
      <c r="G141" s="39">
        <f>Участки[[#This Row],[Площадь]]*Цена!$C$1/100</f>
        <v>929600</v>
      </c>
      <c r="H141" s="40" t="e">
        <f>VLOOKUP(Участки[[#This Row],[Номер участка]],Договоры7[#All],2,FALSE)</f>
        <v>#N/A</v>
      </c>
      <c r="I141" s="29" t="str">
        <f>IF(ISNUMBER(Участки[[#This Row],[УНП]]),VLOOKUP(Участки[[#This Row],[УНП]],Покупатели[[УНП]:[ФИО Покупателя]],2,FALSE),"")</f>
        <v/>
      </c>
    </row>
    <row r="142" spans="1:9" s="37" customFormat="1" x14ac:dyDescent="0.3">
      <c r="A142" s="61">
        <f t="shared" si="2"/>
        <v>141</v>
      </c>
      <c r="B142" s="7" t="s">
        <v>7</v>
      </c>
      <c r="C142" s="28">
        <v>4278</v>
      </c>
      <c r="D142" s="59">
        <v>576</v>
      </c>
      <c r="E142" s="29" t="s">
        <v>10</v>
      </c>
      <c r="F142" s="29" t="s">
        <v>5</v>
      </c>
      <c r="G142" s="39">
        <f>Участки[[#This Row],[Площадь]]*Цена!$C$1/100</f>
        <v>806400</v>
      </c>
      <c r="H142" s="40" t="e">
        <f>VLOOKUP(Участки[[#This Row],[Номер участка]],Договоры7[#All],2,FALSE)</f>
        <v>#N/A</v>
      </c>
      <c r="I142" s="29" t="str">
        <f>IF(ISNUMBER(Участки[[#This Row],[УНП]]),VLOOKUP(Участки[[#This Row],[УНП]],Покупатели[[УНП]:[ФИО Покупателя]],2,FALSE),"")</f>
        <v/>
      </c>
    </row>
    <row r="143" spans="1:9" s="37" customFormat="1" x14ac:dyDescent="0.3">
      <c r="A143" s="61">
        <f t="shared" si="2"/>
        <v>142</v>
      </c>
      <c r="B143" s="7" t="s">
        <v>7</v>
      </c>
      <c r="C143" s="28">
        <v>4279</v>
      </c>
      <c r="D143" s="38">
        <v>579</v>
      </c>
      <c r="E143" s="29" t="s">
        <v>10</v>
      </c>
      <c r="F143" s="29" t="s">
        <v>5</v>
      </c>
      <c r="G143" s="39">
        <f>Участки[[#This Row],[Площадь]]*Цена!$C$1/100</f>
        <v>810600</v>
      </c>
      <c r="H143" s="40" t="e">
        <f>VLOOKUP(Участки[[#This Row],[Номер участка]],Договоры7[#All],2,FALSE)</f>
        <v>#N/A</v>
      </c>
      <c r="I143" s="29" t="str">
        <f>IF(ISNUMBER(Участки[[#This Row],[УНП]]),VLOOKUP(Участки[[#This Row],[УНП]],Покупатели[[УНП]:[ФИО Покупателя]],2,FALSE),"")</f>
        <v/>
      </c>
    </row>
    <row r="144" spans="1:9" s="37" customFormat="1" x14ac:dyDescent="0.3">
      <c r="A144" s="61">
        <f t="shared" si="2"/>
        <v>143</v>
      </c>
      <c r="B144" s="7" t="s">
        <v>7</v>
      </c>
      <c r="C144" s="28">
        <v>4280</v>
      </c>
      <c r="D144" s="38">
        <v>583</v>
      </c>
      <c r="E144" s="29" t="s">
        <v>10</v>
      </c>
      <c r="F144" s="29" t="s">
        <v>5</v>
      </c>
      <c r="G144" s="39">
        <f>Участки[[#This Row],[Площадь]]*Цена!$C$1/100</f>
        <v>816200</v>
      </c>
      <c r="H144" s="40" t="e">
        <f>VLOOKUP(Участки[[#This Row],[Номер участка]],Договоры7[#All],2,FALSE)</f>
        <v>#N/A</v>
      </c>
      <c r="I144" s="29" t="str">
        <f>IF(ISNUMBER(Участки[[#This Row],[УНП]]),VLOOKUP(Участки[[#This Row],[УНП]],Покупатели[[УНП]:[ФИО Покупателя]],2,FALSE),"")</f>
        <v/>
      </c>
    </row>
    <row r="145" spans="1:9" s="37" customFormat="1" x14ac:dyDescent="0.3">
      <c r="A145" s="61">
        <f t="shared" si="2"/>
        <v>144</v>
      </c>
      <c r="B145" s="7" t="s">
        <v>7</v>
      </c>
      <c r="C145" s="28">
        <v>4281</v>
      </c>
      <c r="D145" s="38">
        <v>587</v>
      </c>
      <c r="E145" s="29" t="s">
        <v>10</v>
      </c>
      <c r="F145" s="29" t="s">
        <v>5</v>
      </c>
      <c r="G145" s="39">
        <f>Участки[[#This Row],[Площадь]]*Цена!$C$1/100</f>
        <v>821800</v>
      </c>
      <c r="H145" s="40" t="e">
        <f>VLOOKUP(Участки[[#This Row],[Номер участка]],Договоры7[#All],2,FALSE)</f>
        <v>#N/A</v>
      </c>
      <c r="I145" s="29" t="str">
        <f>IF(ISNUMBER(Участки[[#This Row],[УНП]]),VLOOKUP(Участки[[#This Row],[УНП]],Покупатели[[УНП]:[ФИО Покупателя]],2,FALSE),"")</f>
        <v/>
      </c>
    </row>
    <row r="146" spans="1:9" s="37" customFormat="1" x14ac:dyDescent="0.3">
      <c r="A146" s="61">
        <f t="shared" si="2"/>
        <v>145</v>
      </c>
      <c r="B146" s="7" t="s">
        <v>7</v>
      </c>
      <c r="C146" s="28">
        <v>4282</v>
      </c>
      <c r="D146" s="59">
        <v>686</v>
      </c>
      <c r="E146" s="29" t="s">
        <v>10</v>
      </c>
      <c r="F146" s="29" t="s">
        <v>5</v>
      </c>
      <c r="G146" s="39">
        <f>Участки[[#This Row],[Площадь]]*Цена!$C$1/100</f>
        <v>960400</v>
      </c>
      <c r="H146" s="40" t="e">
        <f>VLOOKUP(Участки[[#This Row],[Номер участка]],Договоры7[#All],2,FALSE)</f>
        <v>#N/A</v>
      </c>
      <c r="I146" s="29" t="str">
        <f>IF(ISNUMBER(Участки[[#This Row],[УНП]]),VLOOKUP(Участки[[#This Row],[УНП]],Покупатели[[УНП]:[ФИО Покупателя]],2,FALSE),"")</f>
        <v/>
      </c>
    </row>
    <row r="147" spans="1:9" s="37" customFormat="1" x14ac:dyDescent="0.3">
      <c r="A147" s="61">
        <f t="shared" si="2"/>
        <v>146</v>
      </c>
      <c r="B147" s="7" t="s">
        <v>7</v>
      </c>
      <c r="C147" s="28">
        <v>4283</v>
      </c>
      <c r="D147" s="38">
        <v>768</v>
      </c>
      <c r="E147" s="29" t="s">
        <v>10</v>
      </c>
      <c r="F147" s="29" t="s">
        <v>5</v>
      </c>
      <c r="G147" s="39">
        <f>Участки[[#This Row],[Площадь]]*Цена!$C$1/100</f>
        <v>1075200</v>
      </c>
      <c r="H147" s="40" t="e">
        <f>VLOOKUP(Участки[[#This Row],[Номер участка]],Договоры7[#All],2,FALSE)</f>
        <v>#N/A</v>
      </c>
      <c r="I147" s="29" t="str">
        <f>IF(ISNUMBER(Участки[[#This Row],[УНП]]),VLOOKUP(Участки[[#This Row],[УНП]],Покупатели[[УНП]:[ФИО Покупателя]],2,FALSE),"")</f>
        <v/>
      </c>
    </row>
    <row r="148" spans="1:9" s="37" customFormat="1" x14ac:dyDescent="0.3">
      <c r="A148" s="61">
        <f t="shared" si="2"/>
        <v>147</v>
      </c>
      <c r="B148" s="7" t="s">
        <v>7</v>
      </c>
      <c r="C148" s="28">
        <v>4284</v>
      </c>
      <c r="D148" s="38">
        <v>584</v>
      </c>
      <c r="E148" s="29" t="s">
        <v>10</v>
      </c>
      <c r="F148" s="29" t="s">
        <v>5</v>
      </c>
      <c r="G148" s="39">
        <f>Участки[[#This Row],[Площадь]]*Цена!$C$1/100</f>
        <v>817600</v>
      </c>
      <c r="H148" s="40" t="e">
        <f>VLOOKUP(Участки[[#This Row],[Номер участка]],Договоры7[#All],2,FALSE)</f>
        <v>#N/A</v>
      </c>
      <c r="I148" s="29" t="str">
        <f>IF(ISNUMBER(Участки[[#This Row],[УНП]]),VLOOKUP(Участки[[#This Row],[УНП]],Покупатели[[УНП]:[ФИО Покупателя]],2,FALSE),"")</f>
        <v/>
      </c>
    </row>
    <row r="149" spans="1:9" s="37" customFormat="1" x14ac:dyDescent="0.3">
      <c r="A149" s="61">
        <f t="shared" si="2"/>
        <v>148</v>
      </c>
      <c r="B149" s="7" t="s">
        <v>7</v>
      </c>
      <c r="C149" s="28">
        <v>4263</v>
      </c>
      <c r="D149" s="38">
        <v>591</v>
      </c>
      <c r="E149" s="29" t="s">
        <v>10</v>
      </c>
      <c r="F149" s="29" t="s">
        <v>5</v>
      </c>
      <c r="G149" s="39">
        <f>Участки[[#This Row],[Площадь]]*Цена!$C$1/100</f>
        <v>827400</v>
      </c>
      <c r="H149" s="40" t="e">
        <f>VLOOKUP(Участки[[#This Row],[Номер участка]],Договоры7[#All],2,FALSE)</f>
        <v>#N/A</v>
      </c>
      <c r="I149" s="29" t="str">
        <f>IF(ISNUMBER(Участки[[#This Row],[УНП]]),VLOOKUP(Участки[[#This Row],[УНП]],Покупатели[[УНП]:[ФИО Покупателя]],2,FALSE),"")</f>
        <v/>
      </c>
    </row>
    <row r="150" spans="1:9" s="37" customFormat="1" x14ac:dyDescent="0.3">
      <c r="A150" s="37">
        <f t="shared" si="2"/>
        <v>149</v>
      </c>
      <c r="B150" s="7" t="s">
        <v>7</v>
      </c>
      <c r="C150" s="28"/>
      <c r="D150" s="38">
        <v>617</v>
      </c>
      <c r="E150" s="29" t="s">
        <v>10</v>
      </c>
      <c r="F150" s="29" t="s">
        <v>5</v>
      </c>
      <c r="G150" s="39">
        <f>Участки[[#This Row],[Площадь]]*Цена!$C$1/100</f>
        <v>863800</v>
      </c>
      <c r="H150" s="40" t="e">
        <f>VLOOKUP(Участки[[#This Row],[Номер участка]],Договоры7[#All],2,FALSE)</f>
        <v>#N/A</v>
      </c>
      <c r="I150" s="29" t="str">
        <f>IF(ISNUMBER(Участки[[#This Row],[УНП]]),VLOOKUP(Участки[[#This Row],[УНП]],Покупатели[[УНП]:[ФИО Покупателя]],2,FALSE),"")</f>
        <v/>
      </c>
    </row>
    <row r="151" spans="1:9" s="37" customFormat="1" x14ac:dyDescent="0.3">
      <c r="A151" s="37">
        <f t="shared" si="2"/>
        <v>150</v>
      </c>
      <c r="B151" s="7" t="s">
        <v>7</v>
      </c>
      <c r="C151" s="28"/>
      <c r="D151" s="38">
        <v>617</v>
      </c>
      <c r="E151" s="29" t="s">
        <v>10</v>
      </c>
      <c r="F151" s="29" t="s">
        <v>5</v>
      </c>
      <c r="G151" s="39">
        <f>Участки[[#This Row],[Площадь]]*Цена!$C$1/100</f>
        <v>863800</v>
      </c>
      <c r="H151" s="40" t="e">
        <f>VLOOKUP(Участки[[#This Row],[Номер участка]],Договоры7[#All],2,FALSE)</f>
        <v>#N/A</v>
      </c>
      <c r="I151" s="29" t="str">
        <f>IF(ISNUMBER(Участки[[#This Row],[УНП]]),VLOOKUP(Участки[[#This Row],[УНП]],Покупатели[[УНП]:[ФИО Покупателя]],2,FALSE),"")</f>
        <v/>
      </c>
    </row>
    <row r="152" spans="1:9" s="37" customFormat="1" x14ac:dyDescent="0.3">
      <c r="A152" s="37">
        <f t="shared" si="2"/>
        <v>151</v>
      </c>
      <c r="B152" s="7" t="s">
        <v>7</v>
      </c>
      <c r="C152" s="28"/>
      <c r="D152" s="38">
        <v>780</v>
      </c>
      <c r="E152" s="29" t="s">
        <v>10</v>
      </c>
      <c r="F152" s="29" t="s">
        <v>5</v>
      </c>
      <c r="G152" s="39">
        <f>Участки[[#This Row],[Площадь]]*Цена!$C$1/100</f>
        <v>1092000</v>
      </c>
      <c r="H152" s="40" t="e">
        <f>VLOOKUP(Участки[[#This Row],[Номер участка]],Договоры7[#All],2,FALSE)</f>
        <v>#N/A</v>
      </c>
      <c r="I152" s="29" t="str">
        <f>IF(ISNUMBER(Участки[[#This Row],[УНП]]),VLOOKUP(Участки[[#This Row],[УНП]],Покупатели[[УНП]:[ФИО Покупателя]],2,FALSE),"")</f>
        <v/>
      </c>
    </row>
    <row r="153" spans="1:9" s="37" customFormat="1" x14ac:dyDescent="0.3">
      <c r="A153" s="37">
        <f t="shared" si="2"/>
        <v>152</v>
      </c>
      <c r="B153" s="7" t="s">
        <v>7</v>
      </c>
      <c r="C153" s="28"/>
      <c r="D153" s="38">
        <v>702</v>
      </c>
      <c r="E153" s="29" t="s">
        <v>10</v>
      </c>
      <c r="F153" s="29" t="s">
        <v>5</v>
      </c>
      <c r="G153" s="39">
        <f>Участки[[#This Row],[Площадь]]*Цена!$C$1/100</f>
        <v>982800</v>
      </c>
      <c r="H153" s="40" t="e">
        <f>VLOOKUP(Участки[[#This Row],[Номер участка]],Договоры7[#All],2,FALSE)</f>
        <v>#N/A</v>
      </c>
      <c r="I153" s="29" t="str">
        <f>IF(ISNUMBER(Участки[[#This Row],[УНП]]),VLOOKUP(Участки[[#This Row],[УНП]],Покупатели[[УНП]:[ФИО Покупателя]],2,FALSE),"")</f>
        <v/>
      </c>
    </row>
    <row r="154" spans="1:9" s="37" customFormat="1" x14ac:dyDescent="0.3">
      <c r="A154" s="37">
        <f t="shared" si="2"/>
        <v>153</v>
      </c>
      <c r="B154" s="7" t="s">
        <v>7</v>
      </c>
      <c r="C154" s="28"/>
      <c r="D154" s="38">
        <v>604</v>
      </c>
      <c r="E154" s="29" t="s">
        <v>10</v>
      </c>
      <c r="F154" s="29" t="s">
        <v>5</v>
      </c>
      <c r="G154" s="39">
        <f>Участки[[#This Row],[Площадь]]*Цена!$C$1/100</f>
        <v>845600</v>
      </c>
      <c r="H154" s="40" t="e">
        <f>VLOOKUP(Участки[[#This Row],[Номер участка]],Договоры7[#All],2,FALSE)</f>
        <v>#N/A</v>
      </c>
      <c r="I154" s="29" t="str">
        <f>IF(ISNUMBER(Участки[[#This Row],[УНП]]),VLOOKUP(Участки[[#This Row],[УНП]],Покупатели[[УНП]:[ФИО Покупателя]],2,FALSE),"")</f>
        <v/>
      </c>
    </row>
    <row r="155" spans="1:9" s="37" customFormat="1" x14ac:dyDescent="0.3">
      <c r="A155" s="37">
        <f t="shared" si="2"/>
        <v>154</v>
      </c>
      <c r="B155" s="7" t="s">
        <v>7</v>
      </c>
      <c r="C155" s="28"/>
      <c r="D155" s="38">
        <v>604</v>
      </c>
      <c r="E155" s="29" t="s">
        <v>10</v>
      </c>
      <c r="F155" s="29" t="s">
        <v>5</v>
      </c>
      <c r="G155" s="39">
        <f>Участки[[#This Row],[Площадь]]*Цена!$C$1/100</f>
        <v>845600</v>
      </c>
      <c r="H155" s="40" t="e">
        <f>VLOOKUP(Участки[[#This Row],[Номер участка]],Договоры7[#All],2,FALSE)</f>
        <v>#N/A</v>
      </c>
      <c r="I155" s="29" t="str">
        <f>IF(ISNUMBER(Участки[[#This Row],[УНП]]),VLOOKUP(Участки[[#This Row],[УНП]],Покупатели[[УНП]:[ФИО Покупателя]],2,FALSE),"")</f>
        <v/>
      </c>
    </row>
    <row r="156" spans="1:9" s="37" customFormat="1" x14ac:dyDescent="0.3">
      <c r="A156" s="37">
        <f t="shared" si="2"/>
        <v>155</v>
      </c>
      <c r="B156" s="7" t="s">
        <v>7</v>
      </c>
      <c r="C156" s="28"/>
      <c r="D156" s="38">
        <v>604</v>
      </c>
      <c r="E156" s="29" t="s">
        <v>10</v>
      </c>
      <c r="F156" s="29" t="s">
        <v>5</v>
      </c>
      <c r="G156" s="39">
        <f>Участки[[#This Row],[Площадь]]*Цена!$C$1/100</f>
        <v>845600</v>
      </c>
      <c r="H156" s="40" t="e">
        <f>VLOOKUP(Участки[[#This Row],[Номер участка]],Договоры7[#All],2,FALSE)</f>
        <v>#N/A</v>
      </c>
      <c r="I156" s="29" t="str">
        <f>IF(ISNUMBER(Участки[[#This Row],[УНП]]),VLOOKUP(Участки[[#This Row],[УНП]],Покупатели[[УНП]:[ФИО Покупателя]],2,FALSE),"")</f>
        <v/>
      </c>
    </row>
    <row r="157" spans="1:9" s="37" customFormat="1" x14ac:dyDescent="0.3">
      <c r="A157" s="37">
        <f t="shared" si="2"/>
        <v>156</v>
      </c>
      <c r="B157" s="7" t="s">
        <v>7</v>
      </c>
      <c r="C157" s="28"/>
      <c r="D157" s="38">
        <v>604</v>
      </c>
      <c r="E157" s="29" t="s">
        <v>10</v>
      </c>
      <c r="F157" s="29" t="s">
        <v>5</v>
      </c>
      <c r="G157" s="39">
        <f>Участки[[#This Row],[Площадь]]*Цена!$C$1/100</f>
        <v>845600</v>
      </c>
      <c r="H157" s="40" t="e">
        <f>VLOOKUP(Участки[[#This Row],[Номер участка]],Договоры7[#All],2,FALSE)</f>
        <v>#N/A</v>
      </c>
      <c r="I157" s="29" t="str">
        <f>IF(ISNUMBER(Участки[[#This Row],[УНП]]),VLOOKUP(Участки[[#This Row],[УНП]],Покупатели[[УНП]:[ФИО Покупателя]],2,FALSE),"")</f>
        <v/>
      </c>
    </row>
    <row r="158" spans="1:9" s="37" customFormat="1" x14ac:dyDescent="0.3">
      <c r="A158" s="37">
        <f t="shared" si="2"/>
        <v>157</v>
      </c>
      <c r="B158" s="7" t="s">
        <v>7</v>
      </c>
      <c r="C158" s="28"/>
      <c r="D158" s="38">
        <v>702</v>
      </c>
      <c r="E158" s="29" t="s">
        <v>10</v>
      </c>
      <c r="F158" s="29" t="s">
        <v>5</v>
      </c>
      <c r="G158" s="39">
        <f>Участки[[#This Row],[Площадь]]*Цена!$C$1/100</f>
        <v>982800</v>
      </c>
      <c r="H158" s="40" t="e">
        <f>VLOOKUP(Участки[[#This Row],[Номер участка]],Договоры7[#All],2,FALSE)</f>
        <v>#N/A</v>
      </c>
      <c r="I158" s="29" t="str">
        <f>IF(ISNUMBER(Участки[[#This Row],[УНП]]),VLOOKUP(Участки[[#This Row],[УНП]],Покупатели[[УНП]:[ФИО Покупателя]],2,FALSE),"")</f>
        <v/>
      </c>
    </row>
    <row r="159" spans="1:9" s="37" customFormat="1" x14ac:dyDescent="0.3">
      <c r="A159" s="37">
        <f t="shared" si="2"/>
        <v>158</v>
      </c>
      <c r="B159" s="7" t="s">
        <v>7</v>
      </c>
      <c r="C159" s="28"/>
      <c r="D159" s="38">
        <v>780</v>
      </c>
      <c r="E159" s="29" t="s">
        <v>10</v>
      </c>
      <c r="F159" s="29" t="s">
        <v>5</v>
      </c>
      <c r="G159" s="39">
        <f>Участки[[#This Row],[Площадь]]*Цена!$C$1/100</f>
        <v>1092000</v>
      </c>
      <c r="H159" s="40" t="e">
        <f>VLOOKUP(Участки[[#This Row],[Номер участка]],Договоры7[#All],2,FALSE)</f>
        <v>#N/A</v>
      </c>
      <c r="I159" s="29" t="str">
        <f>IF(ISNUMBER(Участки[[#This Row],[УНП]]),VLOOKUP(Участки[[#This Row],[УНП]],Покупатели[[УНП]:[ФИО Покупателя]],2,FALSE),"")</f>
        <v/>
      </c>
    </row>
    <row r="160" spans="1:9" s="37" customFormat="1" x14ac:dyDescent="0.3">
      <c r="A160" s="37">
        <f t="shared" si="2"/>
        <v>159</v>
      </c>
      <c r="B160" s="7" t="s">
        <v>7</v>
      </c>
      <c r="C160" s="28"/>
      <c r="D160" s="38">
        <v>591</v>
      </c>
      <c r="E160" s="29" t="s">
        <v>10</v>
      </c>
      <c r="F160" s="29" t="s">
        <v>5</v>
      </c>
      <c r="G160" s="39">
        <f>Участки[[#This Row],[Площадь]]*Цена!$C$1/100</f>
        <v>827400</v>
      </c>
      <c r="H160" s="40" t="e">
        <f>VLOOKUP(Участки[[#This Row],[Номер участка]],Договоры7[#All],2,FALSE)</f>
        <v>#N/A</v>
      </c>
      <c r="I160" s="29" t="str">
        <f>IF(ISNUMBER(Участки[[#This Row],[УНП]]),VLOOKUP(Участки[[#This Row],[УНП]],Покупатели[[УНП]:[ФИО Покупателя]],2,FALSE),"")</f>
        <v/>
      </c>
    </row>
    <row r="161" spans="1:9" s="25" customFormat="1" x14ac:dyDescent="0.3">
      <c r="A161" s="37">
        <f t="shared" si="2"/>
        <v>160</v>
      </c>
      <c r="B161" s="7" t="s">
        <v>7</v>
      </c>
      <c r="C161" s="28"/>
      <c r="D161" s="38">
        <v>591</v>
      </c>
      <c r="E161" s="29" t="s">
        <v>10</v>
      </c>
      <c r="F161" s="29" t="s">
        <v>5</v>
      </c>
      <c r="G161" s="39">
        <f>Участки[[#This Row],[Площадь]]*Цена!$C$1/100</f>
        <v>827400</v>
      </c>
      <c r="H161" s="40" t="e">
        <f>VLOOKUP(Участки[[#This Row],[Номер участка]],Договоры7[#All],2,FALSE)</f>
        <v>#N/A</v>
      </c>
      <c r="I161" s="29" t="str">
        <f>IF(ISNUMBER(Участки[[#This Row],[УНП]]),VLOOKUP(Участки[[#This Row],[УНП]],Покупатели[[УНП]:[ФИО Покупателя]],2,FALSE),"")</f>
        <v/>
      </c>
    </row>
    <row r="162" spans="1:9" s="25" customFormat="1" x14ac:dyDescent="0.3">
      <c r="A162" s="37">
        <f t="shared" si="2"/>
        <v>161</v>
      </c>
      <c r="B162" s="7" t="s">
        <v>7</v>
      </c>
      <c r="C162" s="28"/>
      <c r="D162" s="38">
        <v>618</v>
      </c>
      <c r="E162" s="29" t="s">
        <v>10</v>
      </c>
      <c r="F162" s="29" t="s">
        <v>5</v>
      </c>
      <c r="G162" s="39">
        <f>Участки[[#This Row],[Площадь]]*Цена!$C$1/100</f>
        <v>865200</v>
      </c>
      <c r="H162" s="40" t="e">
        <f>VLOOKUP(Участки[[#This Row],[Номер участка]],Договоры7[#All],2,FALSE)</f>
        <v>#N/A</v>
      </c>
      <c r="I162" s="29" t="str">
        <f>IF(ISNUMBER(Участки[[#This Row],[УНП]]),VLOOKUP(Участки[[#This Row],[УНП]],Покупатели[[УНП]:[ФИО Покупателя]],2,FALSE),"")</f>
        <v/>
      </c>
    </row>
    <row r="163" spans="1:9" s="25" customFormat="1" x14ac:dyDescent="0.3">
      <c r="A163" s="37">
        <f t="shared" si="2"/>
        <v>162</v>
      </c>
      <c r="B163" s="7" t="s">
        <v>7</v>
      </c>
      <c r="C163" s="28"/>
      <c r="D163" s="38">
        <v>618</v>
      </c>
      <c r="E163" s="29" t="s">
        <v>10</v>
      </c>
      <c r="F163" s="29" t="s">
        <v>5</v>
      </c>
      <c r="G163" s="39">
        <f>Участки[[#This Row],[Площадь]]*Цена!$C$1/100</f>
        <v>865200</v>
      </c>
      <c r="H163" s="40" t="e">
        <f>VLOOKUP(Участки[[#This Row],[Номер участка]],Договоры7[#All],2,FALSE)</f>
        <v>#N/A</v>
      </c>
      <c r="I163" s="29" t="str">
        <f>IF(ISNUMBER(Участки[[#This Row],[УНП]]),VLOOKUP(Участки[[#This Row],[УНП]],Покупатели[[УНП]:[ФИО Покупателя]],2,FALSE),"")</f>
        <v/>
      </c>
    </row>
    <row r="164" spans="1:9" s="25" customFormat="1" x14ac:dyDescent="0.3">
      <c r="A164" s="37">
        <f t="shared" si="2"/>
        <v>163</v>
      </c>
      <c r="B164" s="7" t="s">
        <v>7</v>
      </c>
      <c r="C164" s="28"/>
      <c r="D164" s="38">
        <v>780</v>
      </c>
      <c r="E164" s="29" t="s">
        <v>10</v>
      </c>
      <c r="F164" s="29" t="s">
        <v>5</v>
      </c>
      <c r="G164" s="39">
        <f>Участки[[#This Row],[Площадь]]*Цена!$C$1/100</f>
        <v>1092000</v>
      </c>
      <c r="H164" s="40" t="e">
        <f>VLOOKUP(Участки[[#This Row],[Номер участка]],Договоры7[#All],2,FALSE)</f>
        <v>#N/A</v>
      </c>
      <c r="I164" s="29" t="str">
        <f>IF(ISNUMBER(Участки[[#This Row],[УНП]]),VLOOKUP(Участки[[#This Row],[УНП]],Покупатели[[УНП]:[ФИО Покупателя]],2,FALSE),"")</f>
        <v/>
      </c>
    </row>
    <row r="165" spans="1:9" s="25" customFormat="1" x14ac:dyDescent="0.3">
      <c r="A165" s="37">
        <f t="shared" si="2"/>
        <v>164</v>
      </c>
      <c r="B165" s="7" t="s">
        <v>7</v>
      </c>
      <c r="C165" s="28"/>
      <c r="D165" s="38">
        <v>702</v>
      </c>
      <c r="E165" s="29" t="s">
        <v>10</v>
      </c>
      <c r="F165" s="29" t="s">
        <v>5</v>
      </c>
      <c r="G165" s="39">
        <f>Участки[[#This Row],[Площадь]]*Цена!$C$1/100</f>
        <v>982800</v>
      </c>
      <c r="H165" s="40" t="e">
        <f>VLOOKUP(Участки[[#This Row],[Номер участка]],Договоры7[#All],2,FALSE)</f>
        <v>#N/A</v>
      </c>
      <c r="I165" s="29" t="str">
        <f>IF(ISNUMBER(Участки[[#This Row],[УНП]]),VLOOKUP(Участки[[#This Row],[УНП]],Покупатели[[УНП]:[ФИО Покупателя]],2,FALSE),"")</f>
        <v/>
      </c>
    </row>
    <row r="166" spans="1:9" s="25" customFormat="1" x14ac:dyDescent="0.3">
      <c r="A166" s="37">
        <f t="shared" si="2"/>
        <v>165</v>
      </c>
      <c r="B166" s="7" t="s">
        <v>7</v>
      </c>
      <c r="C166" s="28"/>
      <c r="D166" s="38">
        <v>604</v>
      </c>
      <c r="E166" s="29" t="s">
        <v>10</v>
      </c>
      <c r="F166" s="29" t="s">
        <v>5</v>
      </c>
      <c r="G166" s="39">
        <f>Участки[[#This Row],[Площадь]]*Цена!$C$1/100</f>
        <v>845600</v>
      </c>
      <c r="H166" s="40" t="e">
        <f>VLOOKUP(Участки[[#This Row],[Номер участка]],Договоры7[#All],2,FALSE)</f>
        <v>#N/A</v>
      </c>
      <c r="I166" s="29" t="str">
        <f>IF(ISNUMBER(Участки[[#This Row],[УНП]]),VLOOKUP(Участки[[#This Row],[УНП]],Покупатели[[УНП]:[ФИО Покупателя]],2,FALSE),"")</f>
        <v/>
      </c>
    </row>
    <row r="167" spans="1:9" s="25" customFormat="1" x14ac:dyDescent="0.3">
      <c r="A167" s="37">
        <f t="shared" si="2"/>
        <v>166</v>
      </c>
      <c r="B167" s="7" t="s">
        <v>7</v>
      </c>
      <c r="C167" s="28"/>
      <c r="D167" s="38">
        <v>604</v>
      </c>
      <c r="E167" s="29" t="s">
        <v>10</v>
      </c>
      <c r="F167" s="29" t="s">
        <v>5</v>
      </c>
      <c r="G167" s="39">
        <f>Участки[[#This Row],[Площадь]]*Цена!$C$1/100</f>
        <v>845600</v>
      </c>
      <c r="H167" s="40" t="e">
        <f>VLOOKUP(Участки[[#This Row],[Номер участка]],Договоры7[#All],2,FALSE)</f>
        <v>#N/A</v>
      </c>
      <c r="I167" s="29" t="str">
        <f>IF(ISNUMBER(Участки[[#This Row],[УНП]]),VLOOKUP(Участки[[#This Row],[УНП]],Покупатели[[УНП]:[ФИО Покупателя]],2,FALSE),"")</f>
        <v/>
      </c>
    </row>
    <row r="168" spans="1:9" s="25" customFormat="1" x14ac:dyDescent="0.3">
      <c r="A168" s="37">
        <f t="shared" si="2"/>
        <v>167</v>
      </c>
      <c r="B168" s="7" t="s">
        <v>7</v>
      </c>
      <c r="C168" s="28"/>
      <c r="D168" s="38">
        <v>604</v>
      </c>
      <c r="E168" s="29" t="s">
        <v>10</v>
      </c>
      <c r="F168" s="29" t="s">
        <v>5</v>
      </c>
      <c r="G168" s="39">
        <f>Участки[[#This Row],[Площадь]]*Цена!$C$1/100</f>
        <v>845600</v>
      </c>
      <c r="H168" s="40" t="e">
        <f>VLOOKUP(Участки[[#This Row],[Номер участка]],Договоры7[#All],2,FALSE)</f>
        <v>#N/A</v>
      </c>
      <c r="I168" s="29" t="str">
        <f>IF(ISNUMBER(Участки[[#This Row],[УНП]]),VLOOKUP(Участки[[#This Row],[УНП]],Покупатели[[УНП]:[ФИО Покупателя]],2,FALSE),"")</f>
        <v/>
      </c>
    </row>
    <row r="169" spans="1:9" s="25" customFormat="1" x14ac:dyDescent="0.3">
      <c r="A169" s="37">
        <f t="shared" si="2"/>
        <v>168</v>
      </c>
      <c r="B169" s="7" t="s">
        <v>7</v>
      </c>
      <c r="C169" s="28"/>
      <c r="D169" s="38">
        <v>604</v>
      </c>
      <c r="E169" s="29" t="s">
        <v>10</v>
      </c>
      <c r="F169" s="29" t="s">
        <v>5</v>
      </c>
      <c r="G169" s="39">
        <f>Участки[[#This Row],[Площадь]]*Цена!$C$1/100</f>
        <v>845600</v>
      </c>
      <c r="H169" s="40" t="e">
        <f>VLOOKUP(Участки[[#This Row],[Номер участка]],Договоры7[#All],2,FALSE)</f>
        <v>#N/A</v>
      </c>
      <c r="I169" s="29" t="str">
        <f>IF(ISNUMBER(Участки[[#This Row],[УНП]]),VLOOKUP(Участки[[#This Row],[УНП]],Покупатели[[УНП]:[ФИО Покупателя]],2,FALSE),"")</f>
        <v/>
      </c>
    </row>
    <row r="170" spans="1:9" s="25" customFormat="1" x14ac:dyDescent="0.3">
      <c r="A170" s="37">
        <f t="shared" si="2"/>
        <v>169</v>
      </c>
      <c r="B170" s="7" t="s">
        <v>7</v>
      </c>
      <c r="C170" s="28"/>
      <c r="D170" s="38">
        <v>702</v>
      </c>
      <c r="E170" s="29" t="s">
        <v>10</v>
      </c>
      <c r="F170" s="29" t="s">
        <v>5</v>
      </c>
      <c r="G170" s="39">
        <f>Участки[[#This Row],[Площадь]]*Цена!$C$1/100</f>
        <v>982800</v>
      </c>
      <c r="H170" s="40" t="e">
        <f>VLOOKUP(Участки[[#This Row],[Номер участка]],Договоры7[#All],2,FALSE)</f>
        <v>#N/A</v>
      </c>
      <c r="I170" s="29" t="str">
        <f>IF(ISNUMBER(Участки[[#This Row],[УНП]]),VLOOKUP(Участки[[#This Row],[УНП]],Покупатели[[УНП]:[ФИО Покупателя]],2,FALSE),"")</f>
        <v/>
      </c>
    </row>
    <row r="171" spans="1:9" s="25" customFormat="1" x14ac:dyDescent="0.3">
      <c r="A171" s="37">
        <f t="shared" si="2"/>
        <v>170</v>
      </c>
      <c r="B171" s="7" t="s">
        <v>7</v>
      </c>
      <c r="C171" s="28"/>
      <c r="D171" s="38">
        <v>780</v>
      </c>
      <c r="E171" s="29" t="s">
        <v>10</v>
      </c>
      <c r="F171" s="29" t="s">
        <v>5</v>
      </c>
      <c r="G171" s="39">
        <f>Участки[[#This Row],[Площадь]]*Цена!$C$1/100</f>
        <v>1092000</v>
      </c>
      <c r="H171" s="40" t="e">
        <f>VLOOKUP(Участки[[#This Row],[Номер участка]],Договоры7[#All],2,FALSE)</f>
        <v>#N/A</v>
      </c>
      <c r="I171" s="29" t="str">
        <f>IF(ISNUMBER(Участки[[#This Row],[УНП]]),VLOOKUP(Участки[[#This Row],[УНП]],Покупатели[[УНП]:[ФИО Покупателя]],2,FALSE),"")</f>
        <v/>
      </c>
    </row>
    <row r="172" spans="1:9" s="25" customFormat="1" x14ac:dyDescent="0.3">
      <c r="A172" s="37">
        <f t="shared" si="2"/>
        <v>171</v>
      </c>
      <c r="B172" s="7" t="s">
        <v>7</v>
      </c>
      <c r="C172" s="28"/>
      <c r="D172" s="38">
        <v>591</v>
      </c>
      <c r="E172" s="29" t="s">
        <v>10</v>
      </c>
      <c r="F172" s="29" t="s">
        <v>5</v>
      </c>
      <c r="G172" s="39">
        <f>Участки[[#This Row],[Площадь]]*Цена!$C$1/100</f>
        <v>827400</v>
      </c>
      <c r="H172" s="40" t="e">
        <f>VLOOKUP(Участки[[#This Row],[Номер участка]],Договоры7[#All],2,FALSE)</f>
        <v>#N/A</v>
      </c>
      <c r="I172" s="29" t="str">
        <f>IF(ISNUMBER(Участки[[#This Row],[УНП]]),VLOOKUP(Участки[[#This Row],[УНП]],Покупатели[[УНП]:[ФИО Покупателя]],2,FALSE),"")</f>
        <v/>
      </c>
    </row>
    <row r="173" spans="1:9" s="25" customFormat="1" x14ac:dyDescent="0.3">
      <c r="A173" s="37">
        <f t="shared" si="2"/>
        <v>172</v>
      </c>
      <c r="B173" s="7" t="s">
        <v>7</v>
      </c>
      <c r="C173" s="28"/>
      <c r="D173" s="38">
        <v>591</v>
      </c>
      <c r="E173" s="29" t="s">
        <v>10</v>
      </c>
      <c r="F173" s="29" t="s">
        <v>5</v>
      </c>
      <c r="G173" s="39">
        <f>Участки[[#This Row],[Площадь]]*Цена!$C$1/100</f>
        <v>827400</v>
      </c>
      <c r="H173" s="40" t="e">
        <f>VLOOKUP(Участки[[#This Row],[Номер участка]],Договоры7[#All],2,FALSE)</f>
        <v>#N/A</v>
      </c>
      <c r="I173" s="29" t="str">
        <f>IF(ISNUMBER(Участки[[#This Row],[УНП]]),VLOOKUP(Участки[[#This Row],[УНП]],Покупатели[[УНП]:[ФИО Покупателя]],2,FALSE),"")</f>
        <v/>
      </c>
    </row>
    <row r="174" spans="1:9" s="25" customFormat="1" x14ac:dyDescent="0.3">
      <c r="A174" s="37">
        <f t="shared" si="2"/>
        <v>173</v>
      </c>
      <c r="B174" s="7" t="s">
        <v>7</v>
      </c>
      <c r="C174" s="28">
        <v>1585</v>
      </c>
      <c r="D174" s="38">
        <v>918</v>
      </c>
      <c r="E174" s="29" t="s">
        <v>10</v>
      </c>
      <c r="F174" s="29" t="s">
        <v>5</v>
      </c>
      <c r="G174" s="39">
        <f>Участки[[#This Row],[Площадь]]*Цена!$C$1/100</f>
        <v>1285200</v>
      </c>
      <c r="H174" s="40" t="e">
        <f>VLOOKUP(Участки[[#This Row],[Номер участка]],Договоры7[#All],2,FALSE)</f>
        <v>#N/A</v>
      </c>
      <c r="I174" s="29" t="str">
        <f>IF(ISNUMBER(Участки[[#This Row],[УНП]]),VLOOKUP(Участки[[#This Row],[УНП]],Покупатели[[УНП]:[ФИО Покупателя]],2,FALSE),"")</f>
        <v/>
      </c>
    </row>
    <row r="175" spans="1:9" s="10" customFormat="1" x14ac:dyDescent="0.3">
      <c r="A175" s="9">
        <f t="shared" si="2"/>
        <v>174</v>
      </c>
      <c r="B175" s="11" t="s">
        <v>7</v>
      </c>
      <c r="C175" s="12">
        <v>1586</v>
      </c>
      <c r="D175" s="32">
        <f>495+496</f>
        <v>991</v>
      </c>
      <c r="E175" s="13" t="s">
        <v>12</v>
      </c>
      <c r="F175" s="13" t="s">
        <v>8</v>
      </c>
      <c r="G175" s="35">
        <f>Участки[[#This Row],[Площадь]]*Цена!$C$1/100</f>
        <v>1387400</v>
      </c>
      <c r="H175" s="40" t="e">
        <f>VLOOKUP(Участки[[#This Row],[Номер участка]],Договоры7[#All],2,FALSE)</f>
        <v>#N/A</v>
      </c>
      <c r="I175" s="13" t="str">
        <f>IF(ISNUMBER(Участки[[#This Row],[УНП]]),VLOOKUP(Участки[[#This Row],[УНП]],Покупатели[[УНП]:[ФИО Покупателя]],2,FALSE),"")</f>
        <v/>
      </c>
    </row>
    <row r="176" spans="1:9" s="25" customFormat="1" x14ac:dyDescent="0.3">
      <c r="A176" s="37">
        <f t="shared" si="2"/>
        <v>175</v>
      </c>
      <c r="B176" s="7" t="s">
        <v>7</v>
      </c>
      <c r="C176" s="28">
        <v>1587</v>
      </c>
      <c r="D176" s="38">
        <v>892</v>
      </c>
      <c r="E176" s="29" t="s">
        <v>10</v>
      </c>
      <c r="F176" s="29" t="s">
        <v>5</v>
      </c>
      <c r="G176" s="39">
        <f>Участки[[#This Row],[Площадь]]*Цена!$C$1/100</f>
        <v>1248800</v>
      </c>
      <c r="H176" s="40" t="e">
        <f>VLOOKUP(Участки[[#This Row],[Номер участка]],Договоры7[#All],2,FALSE)</f>
        <v>#N/A</v>
      </c>
      <c r="I176" s="29" t="str">
        <f>IF(ISNUMBER(Участки[[#This Row],[УНП]]),VLOOKUP(Участки[[#This Row],[УНП]],Покупатели[[УНП]:[ФИО Покупателя]],2,FALSE),"")</f>
        <v/>
      </c>
    </row>
    <row r="177" spans="1:9" s="25" customFormat="1" x14ac:dyDescent="0.3">
      <c r="A177" s="37">
        <f t="shared" si="2"/>
        <v>176</v>
      </c>
      <c r="B177" s="7" t="s">
        <v>7</v>
      </c>
      <c r="C177" s="28">
        <v>1588</v>
      </c>
      <c r="D177" s="38">
        <v>876</v>
      </c>
      <c r="E177" s="29" t="s">
        <v>10</v>
      </c>
      <c r="F177" s="29" t="s">
        <v>5</v>
      </c>
      <c r="G177" s="39">
        <f>Участки[[#This Row],[Площадь]]*Цена!$C$1/100</f>
        <v>1226400</v>
      </c>
      <c r="H177" s="40" t="e">
        <f>VLOOKUP(Участки[[#This Row],[Номер участка]],Договоры7[#All],2,FALSE)</f>
        <v>#N/A</v>
      </c>
      <c r="I177" s="29" t="str">
        <f>IF(ISNUMBER(Участки[[#This Row],[УНП]]),VLOOKUP(Участки[[#This Row],[УНП]],Покупатели[[УНП]:[ФИО Покупателя]],2,FALSE),"")</f>
        <v/>
      </c>
    </row>
    <row r="178" spans="1:9" s="25" customFormat="1" x14ac:dyDescent="0.3">
      <c r="A178" s="37">
        <f t="shared" si="2"/>
        <v>177</v>
      </c>
      <c r="B178" s="7" t="s">
        <v>7</v>
      </c>
      <c r="C178" s="28">
        <v>1589</v>
      </c>
      <c r="D178" s="38">
        <v>950</v>
      </c>
      <c r="E178" s="29" t="s">
        <v>10</v>
      </c>
      <c r="F178" s="29" t="s">
        <v>5</v>
      </c>
      <c r="G178" s="39">
        <f>Участки[[#This Row],[Площадь]]*Цена!$C$1/100</f>
        <v>1330000</v>
      </c>
      <c r="H178" s="40" t="e">
        <f>VLOOKUP(Участки[[#This Row],[Номер участка]],Договоры7[#All],2,FALSE)</f>
        <v>#N/A</v>
      </c>
      <c r="I178" s="29" t="str">
        <f>IF(ISNUMBER(Участки[[#This Row],[УНП]]),VLOOKUP(Участки[[#This Row],[УНП]],Покупатели[[УНП]:[ФИО Покупателя]],2,FALSE),"")</f>
        <v/>
      </c>
    </row>
    <row r="179" spans="1:9" s="25" customFormat="1" x14ac:dyDescent="0.3">
      <c r="A179" s="37">
        <f t="shared" si="2"/>
        <v>178</v>
      </c>
      <c r="B179" s="7" t="s">
        <v>7</v>
      </c>
      <c r="C179" s="28">
        <v>1591</v>
      </c>
      <c r="D179" s="38">
        <v>976</v>
      </c>
      <c r="E179" s="29" t="s">
        <v>10</v>
      </c>
      <c r="F179" s="29" t="s">
        <v>5</v>
      </c>
      <c r="G179" s="39">
        <f>Участки[[#This Row],[Площадь]]*Цена!$C$1/100</f>
        <v>1366400</v>
      </c>
      <c r="H179" s="40" t="e">
        <f>VLOOKUP(Участки[[#This Row],[Номер участка]],Договоры7[#All],2,FALSE)</f>
        <v>#N/A</v>
      </c>
      <c r="I179" s="29" t="str">
        <f>IF(ISNUMBER(Участки[[#This Row],[УНП]]),VLOOKUP(Участки[[#This Row],[УНП]],Покупатели[[УНП]:[ФИО Покупателя]],2,FALSE),"")</f>
        <v/>
      </c>
    </row>
    <row r="180" spans="1:9" s="25" customFormat="1" x14ac:dyDescent="0.3">
      <c r="A180" s="37">
        <f t="shared" si="2"/>
        <v>179</v>
      </c>
      <c r="B180" s="7" t="s">
        <v>7</v>
      </c>
      <c r="C180" s="28">
        <v>1592</v>
      </c>
      <c r="D180" s="38">
        <v>976</v>
      </c>
      <c r="E180" s="29" t="s">
        <v>10</v>
      </c>
      <c r="F180" s="29" t="s">
        <v>5</v>
      </c>
      <c r="G180" s="39">
        <f>Участки[[#This Row],[Площадь]]*Цена!$C$1/100</f>
        <v>1366400</v>
      </c>
      <c r="H180" s="40" t="e">
        <f>VLOOKUP(Участки[[#This Row],[Номер участка]],Договоры7[#All],2,FALSE)</f>
        <v>#N/A</v>
      </c>
      <c r="I180" s="29" t="str">
        <f>IF(ISNUMBER(Участки[[#This Row],[УНП]]),VLOOKUP(Участки[[#This Row],[УНП]],Покупатели[[УНП]:[ФИО Покупателя]],2,FALSE),"")</f>
        <v/>
      </c>
    </row>
    <row r="181" spans="1:9" s="25" customFormat="1" x14ac:dyDescent="0.3">
      <c r="A181" s="37">
        <f t="shared" si="2"/>
        <v>180</v>
      </c>
      <c r="B181" s="7" t="s">
        <v>7</v>
      </c>
      <c r="C181" s="28">
        <v>1593</v>
      </c>
      <c r="D181" s="38">
        <v>976</v>
      </c>
      <c r="E181" s="29" t="s">
        <v>10</v>
      </c>
      <c r="F181" s="29" t="s">
        <v>5</v>
      </c>
      <c r="G181" s="39">
        <f>Участки[[#This Row],[Площадь]]*Цена!$C$1/100</f>
        <v>1366400</v>
      </c>
      <c r="H181" s="40" t="e">
        <f>VLOOKUP(Участки[[#This Row],[Номер участка]],Договоры7[#All],2,FALSE)</f>
        <v>#N/A</v>
      </c>
      <c r="I181" s="29" t="str">
        <f>IF(ISNUMBER(Участки[[#This Row],[УНП]]),VLOOKUP(Участки[[#This Row],[УНП]],Покупатели[[УНП]:[ФИО Покупателя]],2,FALSE),"")</f>
        <v/>
      </c>
    </row>
    <row r="182" spans="1:9" s="25" customFormat="1" x14ac:dyDescent="0.3">
      <c r="A182" s="37">
        <f t="shared" si="2"/>
        <v>181</v>
      </c>
      <c r="B182" s="7" t="s">
        <v>7</v>
      </c>
      <c r="C182" s="28">
        <v>1594</v>
      </c>
      <c r="D182" s="38">
        <v>976</v>
      </c>
      <c r="E182" s="29" t="s">
        <v>10</v>
      </c>
      <c r="F182" s="29" t="s">
        <v>5</v>
      </c>
      <c r="G182" s="39">
        <f>Участки[[#This Row],[Площадь]]*Цена!$C$1/100</f>
        <v>1366400</v>
      </c>
      <c r="H182" s="40" t="e">
        <f>VLOOKUP(Участки[[#This Row],[Номер участка]],Договоры7[#All],2,FALSE)</f>
        <v>#N/A</v>
      </c>
      <c r="I182" s="29" t="str">
        <f>IF(ISNUMBER(Участки[[#This Row],[УНП]]),VLOOKUP(Участки[[#This Row],[УНП]],Покупатели[[УНП]:[ФИО Покупателя]],2,FALSE),"")</f>
        <v/>
      </c>
    </row>
    <row r="183" spans="1:9" s="25" customFormat="1" x14ac:dyDescent="0.3">
      <c r="A183" s="37">
        <f t="shared" si="2"/>
        <v>182</v>
      </c>
      <c r="B183" s="7" t="s">
        <v>7</v>
      </c>
      <c r="C183" s="28">
        <v>1595</v>
      </c>
      <c r="D183" s="38">
        <v>975</v>
      </c>
      <c r="E183" s="29" t="s">
        <v>10</v>
      </c>
      <c r="F183" s="29" t="s">
        <v>5</v>
      </c>
      <c r="G183" s="39">
        <f>Участки[[#This Row],[Площадь]]*Цена!$C$1/100</f>
        <v>1365000</v>
      </c>
      <c r="H183" s="40" t="e">
        <f>VLOOKUP(Участки[[#This Row],[Номер участка]],Договоры7[#All],2,FALSE)</f>
        <v>#N/A</v>
      </c>
      <c r="I183" s="29" t="str">
        <f>IF(ISNUMBER(Участки[[#This Row],[УНП]]),VLOOKUP(Участки[[#This Row],[УНП]],Покупатели[[УНП]:[ФИО Покупателя]],2,FALSE),"")</f>
        <v/>
      </c>
    </row>
    <row r="184" spans="1:9" s="25" customFormat="1" x14ac:dyDescent="0.3">
      <c r="A184" s="37">
        <f t="shared" si="2"/>
        <v>183</v>
      </c>
      <c r="B184" s="7" t="s">
        <v>7</v>
      </c>
      <c r="C184" s="28">
        <v>1596</v>
      </c>
      <c r="D184" s="38">
        <v>975</v>
      </c>
      <c r="E184" s="29" t="s">
        <v>10</v>
      </c>
      <c r="F184" s="29" t="s">
        <v>5</v>
      </c>
      <c r="G184" s="39">
        <f>Участки[[#This Row],[Площадь]]*Цена!$C$1/100</f>
        <v>1365000</v>
      </c>
      <c r="H184" s="40" t="e">
        <f>VLOOKUP(Участки[[#This Row],[Номер участка]],Договоры7[#All],2,FALSE)</f>
        <v>#N/A</v>
      </c>
      <c r="I184" s="29" t="str">
        <f>IF(ISNUMBER(Участки[[#This Row],[УНП]]),VLOOKUP(Участки[[#This Row],[УНП]],Покупатели[[УНП]:[ФИО Покупателя]],2,FALSE),"")</f>
        <v/>
      </c>
    </row>
    <row r="185" spans="1:9" s="25" customFormat="1" x14ac:dyDescent="0.3">
      <c r="A185" s="37">
        <f t="shared" si="2"/>
        <v>184</v>
      </c>
      <c r="B185" s="7" t="s">
        <v>7</v>
      </c>
      <c r="C185" s="28">
        <v>1597</v>
      </c>
      <c r="D185" s="38">
        <v>975</v>
      </c>
      <c r="E185" s="29" t="s">
        <v>10</v>
      </c>
      <c r="F185" s="29" t="s">
        <v>5</v>
      </c>
      <c r="G185" s="39">
        <f>Участки[[#This Row],[Площадь]]*Цена!$C$1/100</f>
        <v>1365000</v>
      </c>
      <c r="H185" s="40" t="e">
        <f>VLOOKUP(Участки[[#This Row],[Номер участка]],Договоры7[#All],2,FALSE)</f>
        <v>#N/A</v>
      </c>
      <c r="I185" s="29" t="str">
        <f>IF(ISNUMBER(Участки[[#This Row],[УНП]]),VLOOKUP(Участки[[#This Row],[УНП]],Покупатели[[УНП]:[ФИО Покупателя]],2,FALSE),"")</f>
        <v/>
      </c>
    </row>
    <row r="186" spans="1:9" s="25" customFormat="1" x14ac:dyDescent="0.3">
      <c r="A186" s="37">
        <f t="shared" si="2"/>
        <v>185</v>
      </c>
      <c r="B186" s="7" t="s">
        <v>7</v>
      </c>
      <c r="C186" s="28">
        <v>4027</v>
      </c>
      <c r="D186" s="38">
        <v>487</v>
      </c>
      <c r="E186" s="29" t="s">
        <v>10</v>
      </c>
      <c r="F186" s="29" t="s">
        <v>5</v>
      </c>
      <c r="G186" s="39">
        <f>Участки[[#This Row],[Площадь]]*Цена!$C$1/100</f>
        <v>681800</v>
      </c>
      <c r="H186" s="40" t="e">
        <f>VLOOKUP(Участки[[#This Row],[Номер участка]],Договоры7[#All],2,FALSE)</f>
        <v>#N/A</v>
      </c>
      <c r="I186" s="29" t="str">
        <f>IF(ISNUMBER(Участки[[#This Row],[УНП]]),VLOOKUP(Участки[[#This Row],[УНП]],Покупатели[[УНП]:[ФИО Покупателя]],2,FALSE),"")</f>
        <v/>
      </c>
    </row>
    <row r="187" spans="1:9" s="25" customFormat="1" x14ac:dyDescent="0.3">
      <c r="A187" s="37">
        <f t="shared" si="2"/>
        <v>186</v>
      </c>
      <c r="B187" s="7" t="s">
        <v>7</v>
      </c>
      <c r="C187" s="28">
        <v>4026</v>
      </c>
      <c r="D187" s="38">
        <v>487</v>
      </c>
      <c r="E187" s="29" t="s">
        <v>10</v>
      </c>
      <c r="F187" s="29" t="s">
        <v>5</v>
      </c>
      <c r="G187" s="39">
        <f>Участки[[#This Row],[Площадь]]*Цена!$C$1/100</f>
        <v>681800</v>
      </c>
      <c r="H187" s="40" t="e">
        <f>VLOOKUP(Участки[[#This Row],[Номер участка]],Договоры7[#All],2,FALSE)</f>
        <v>#N/A</v>
      </c>
      <c r="I187" s="29" t="str">
        <f>IF(ISNUMBER(Участки[[#This Row],[УНП]]),VLOOKUP(Участки[[#This Row],[УНП]],Покупатели[[УНП]:[ФИО Покупателя]],2,FALSE),"")</f>
        <v/>
      </c>
    </row>
    <row r="188" spans="1:9" s="25" customFormat="1" x14ac:dyDescent="0.3">
      <c r="A188" s="37">
        <f t="shared" si="2"/>
        <v>187</v>
      </c>
      <c r="B188" s="7" t="s">
        <v>7</v>
      </c>
      <c r="C188" s="28">
        <v>1599</v>
      </c>
      <c r="D188" s="38">
        <v>975</v>
      </c>
      <c r="E188" s="29" t="s">
        <v>10</v>
      </c>
      <c r="F188" s="29" t="s">
        <v>5</v>
      </c>
      <c r="G188" s="39">
        <f>Участки[[#This Row],[Площадь]]*Цена!$C$1/100</f>
        <v>1365000</v>
      </c>
      <c r="H188" s="40" t="e">
        <f>VLOOKUP(Участки[[#This Row],[Номер участка]],Договоры7[#All],2,FALSE)</f>
        <v>#N/A</v>
      </c>
      <c r="I188" s="29" t="str">
        <f>IF(ISNUMBER(Участки[[#This Row],[УНП]]),VLOOKUP(Участки[[#This Row],[УНП]],Покупатели[[УНП]:[ФИО Покупателя]],2,FALSE),"")</f>
        <v/>
      </c>
    </row>
    <row r="189" spans="1:9" s="10" customFormat="1" x14ac:dyDescent="0.3">
      <c r="A189" s="9">
        <f t="shared" si="2"/>
        <v>188</v>
      </c>
      <c r="B189" s="11" t="s">
        <v>7</v>
      </c>
      <c r="C189" s="12">
        <v>1600</v>
      </c>
      <c r="D189" s="32">
        <v>975</v>
      </c>
      <c r="E189" s="13" t="s">
        <v>12</v>
      </c>
      <c r="F189" s="13" t="s">
        <v>13</v>
      </c>
      <c r="G189" s="35">
        <f>Участки[[#This Row],[Площадь]]*Цена!$C$1/100</f>
        <v>1365000</v>
      </c>
      <c r="H189" s="40" t="e">
        <f>VLOOKUP(Участки[[#This Row],[Номер участка]],Договоры7[#All],2,FALSE)</f>
        <v>#N/A</v>
      </c>
      <c r="I189" s="13" t="str">
        <f>IF(ISNUMBER(Участки[[#This Row],[УНП]]),VLOOKUP(Участки[[#This Row],[УНП]],Покупатели[[УНП]:[ФИО Покупателя]],2,FALSE),"")</f>
        <v/>
      </c>
    </row>
    <row r="190" spans="1:9" s="10" customFormat="1" x14ac:dyDescent="0.3">
      <c r="A190" s="9">
        <f t="shared" si="2"/>
        <v>189</v>
      </c>
      <c r="B190" s="11" t="s">
        <v>7</v>
      </c>
      <c r="C190" s="12">
        <v>1601</v>
      </c>
      <c r="D190" s="32">
        <v>975</v>
      </c>
      <c r="E190" s="13" t="s">
        <v>12</v>
      </c>
      <c r="F190" s="13" t="s">
        <v>13</v>
      </c>
      <c r="G190" s="35">
        <f>Участки[[#This Row],[Площадь]]*Цена!$C$1/100</f>
        <v>1365000</v>
      </c>
      <c r="H190" s="40" t="e">
        <f>VLOOKUP(Участки[[#This Row],[Номер участка]],Договоры7[#All],2,FALSE)</f>
        <v>#N/A</v>
      </c>
      <c r="I190" s="13" t="str">
        <f>IF(ISNUMBER(Участки[[#This Row],[УНП]]),VLOOKUP(Участки[[#This Row],[УНП]],Покупатели[[УНП]:[ФИО Покупателя]],2,FALSE),"")</f>
        <v/>
      </c>
    </row>
    <row r="191" spans="1:9" s="25" customFormat="1" x14ac:dyDescent="0.3">
      <c r="A191" s="37">
        <f t="shared" si="2"/>
        <v>190</v>
      </c>
      <c r="B191" s="7" t="s">
        <v>7</v>
      </c>
      <c r="C191" s="28">
        <v>1602</v>
      </c>
      <c r="D191" s="38">
        <v>975</v>
      </c>
      <c r="E191" s="29" t="s">
        <v>10</v>
      </c>
      <c r="F191" s="29" t="s">
        <v>5</v>
      </c>
      <c r="G191" s="39">
        <f>Участки[[#This Row],[Площадь]]*Цена!$C$1/100</f>
        <v>1365000</v>
      </c>
      <c r="H191" s="40" t="e">
        <f>VLOOKUP(Участки[[#This Row],[Номер участка]],Договоры7[#All],2,FALSE)</f>
        <v>#N/A</v>
      </c>
      <c r="I191" s="29" t="str">
        <f>IF(ISNUMBER(Участки[[#This Row],[УНП]]),VLOOKUP(Участки[[#This Row],[УНП]],Покупатели[[УНП]:[ФИО Покупателя]],2,FALSE),"")</f>
        <v/>
      </c>
    </row>
    <row r="192" spans="1:9" s="25" customFormat="1" x14ac:dyDescent="0.3">
      <c r="A192" s="37">
        <f t="shared" si="2"/>
        <v>191</v>
      </c>
      <c r="B192" s="7" t="s">
        <v>7</v>
      </c>
      <c r="C192" s="28">
        <v>1603</v>
      </c>
      <c r="D192" s="38">
        <v>976</v>
      </c>
      <c r="E192" s="29" t="s">
        <v>10</v>
      </c>
      <c r="F192" s="29" t="s">
        <v>5</v>
      </c>
      <c r="G192" s="39">
        <f>Участки[[#This Row],[Площадь]]*Цена!$C$1/100</f>
        <v>1366400</v>
      </c>
      <c r="H192" s="40" t="e">
        <f>VLOOKUP(Участки[[#This Row],[Номер участка]],Договоры7[#All],2,FALSE)</f>
        <v>#N/A</v>
      </c>
      <c r="I192" s="29" t="str">
        <f>IF(ISNUMBER(Участки[[#This Row],[УНП]]),VLOOKUP(Участки[[#This Row],[УНП]],Покупатели[[УНП]:[ФИО Покупателя]],2,FALSE),"")</f>
        <v/>
      </c>
    </row>
    <row r="193" spans="1:9" s="25" customFormat="1" x14ac:dyDescent="0.3">
      <c r="A193" s="37">
        <f t="shared" si="2"/>
        <v>192</v>
      </c>
      <c r="B193" s="7" t="s">
        <v>7</v>
      </c>
      <c r="C193" s="28">
        <v>1604</v>
      </c>
      <c r="D193" s="38">
        <v>977</v>
      </c>
      <c r="E193" s="29" t="s">
        <v>10</v>
      </c>
      <c r="F193" s="29" t="s">
        <v>5</v>
      </c>
      <c r="G193" s="39">
        <f>Участки[[#This Row],[Площадь]]*Цена!$C$1/100</f>
        <v>1367800</v>
      </c>
      <c r="H193" s="40" t="e">
        <f>VLOOKUP(Участки[[#This Row],[Номер участка]],Договоры7[#All],2,FALSE)</f>
        <v>#N/A</v>
      </c>
      <c r="I193" s="29" t="str">
        <f>IF(ISNUMBER(Участки[[#This Row],[УНП]]),VLOOKUP(Участки[[#This Row],[УНП]],Покупатели[[УНП]:[ФИО Покупателя]],2,FALSE),"")</f>
        <v/>
      </c>
    </row>
    <row r="194" spans="1:9" s="25" customFormat="1" x14ac:dyDescent="0.3">
      <c r="A194" s="37">
        <f t="shared" si="2"/>
        <v>193</v>
      </c>
      <c r="B194" s="7" t="s">
        <v>7</v>
      </c>
      <c r="C194" s="28">
        <v>1605</v>
      </c>
      <c r="D194" s="38">
        <v>976</v>
      </c>
      <c r="E194" s="29" t="s">
        <v>10</v>
      </c>
      <c r="F194" s="29" t="s">
        <v>5</v>
      </c>
      <c r="G194" s="39">
        <f>Участки[[#This Row],[Площадь]]*Цена!$C$1/100</f>
        <v>1366400</v>
      </c>
      <c r="H194" s="40" t="e">
        <f>VLOOKUP(Участки[[#This Row],[Номер участка]],Договоры7[#All],2,FALSE)</f>
        <v>#N/A</v>
      </c>
      <c r="I194" s="29" t="str">
        <f>IF(ISNUMBER(Участки[[#This Row],[УНП]]),VLOOKUP(Участки[[#This Row],[УНП]],Покупатели[[УНП]:[ФИО Покупателя]],2,FALSE),"")</f>
        <v/>
      </c>
    </row>
    <row r="195" spans="1:9" s="10" customFormat="1" x14ac:dyDescent="0.3">
      <c r="A195" s="9">
        <f t="shared" si="2"/>
        <v>194</v>
      </c>
      <c r="B195" s="11" t="s">
        <v>7</v>
      </c>
      <c r="C195" s="12">
        <v>4029</v>
      </c>
      <c r="D195" s="32">
        <v>488</v>
      </c>
      <c r="E195" s="13" t="s">
        <v>12</v>
      </c>
      <c r="F195" s="13" t="s">
        <v>13</v>
      </c>
      <c r="G195" s="35">
        <f>Участки[[#This Row],[Площадь]]*Цена!$C$1/100</f>
        <v>683200</v>
      </c>
      <c r="H195" s="40" t="e">
        <f>VLOOKUP(Участки[[#This Row],[Номер участка]],Договоры7[#All],2,FALSE)</f>
        <v>#N/A</v>
      </c>
      <c r="I195" s="13" t="str">
        <f>IF(ISNUMBER(Участки[[#This Row],[УНП]]),VLOOKUP(Участки[[#This Row],[УНП]],Покупатели[[УНП]:[ФИО Покупателя]],2,FALSE),"")</f>
        <v/>
      </c>
    </row>
    <row r="196" spans="1:9" s="25" customFormat="1" x14ac:dyDescent="0.3">
      <c r="A196" s="37">
        <f t="shared" ref="A196:A228" si="3">A195+1</f>
        <v>195</v>
      </c>
      <c r="B196" s="7" t="s">
        <v>7</v>
      </c>
      <c r="C196" s="28">
        <v>4028</v>
      </c>
      <c r="D196" s="38">
        <v>488</v>
      </c>
      <c r="E196" s="29" t="s">
        <v>10</v>
      </c>
      <c r="F196" s="29" t="s">
        <v>5</v>
      </c>
      <c r="G196" s="39">
        <f>Участки[[#This Row],[Площадь]]*Цена!$C$1/100</f>
        <v>683200</v>
      </c>
      <c r="H196" s="40" t="e">
        <f>VLOOKUP(Участки[[#This Row],[Номер участка]],Договоры7[#All],2,FALSE)</f>
        <v>#N/A</v>
      </c>
      <c r="I196" s="29" t="str">
        <f>IF(ISNUMBER(Участки[[#This Row],[УНП]]),VLOOKUP(Участки[[#This Row],[УНП]],Покупатели[[УНП]:[ФИО Покупателя]],2,FALSE),"")</f>
        <v/>
      </c>
    </row>
    <row r="197" spans="1:9" s="10" customFormat="1" x14ac:dyDescent="0.3">
      <c r="A197" s="9">
        <f t="shared" si="3"/>
        <v>196</v>
      </c>
      <c r="B197" s="11" t="s">
        <v>7</v>
      </c>
      <c r="C197" s="12">
        <v>1608</v>
      </c>
      <c r="D197" s="32">
        <f>488+487</f>
        <v>975</v>
      </c>
      <c r="E197" s="13" t="s">
        <v>12</v>
      </c>
      <c r="F197" s="13" t="s">
        <v>8</v>
      </c>
      <c r="G197" s="35">
        <f>Участки[[#This Row],[Площадь]]*Цена!$C$1/100</f>
        <v>1365000</v>
      </c>
      <c r="H197" s="40" t="e">
        <f>VLOOKUP(Участки[[#This Row],[Номер участка]],Договоры7[#All],2,FALSE)</f>
        <v>#N/A</v>
      </c>
      <c r="I197" s="13" t="str">
        <f>IF(ISNUMBER(Участки[[#This Row],[УНП]]),VLOOKUP(Участки[[#This Row],[УНП]],Покупатели[[УНП]:[ФИО Покупателя]],2,FALSE),"")</f>
        <v/>
      </c>
    </row>
    <row r="198" spans="1:9" s="10" customFormat="1" x14ac:dyDescent="0.3">
      <c r="A198" s="9">
        <f t="shared" si="3"/>
        <v>197</v>
      </c>
      <c r="B198" s="11" t="s">
        <v>7</v>
      </c>
      <c r="C198" s="12">
        <v>1609</v>
      </c>
      <c r="D198" s="32">
        <v>975</v>
      </c>
      <c r="E198" s="13" t="s">
        <v>12</v>
      </c>
      <c r="F198" s="13" t="s">
        <v>8</v>
      </c>
      <c r="G198" s="35">
        <f>Участки[[#This Row],[Площадь]]*Цена!$C$1/100</f>
        <v>1365000</v>
      </c>
      <c r="H198" s="40" t="e">
        <f>VLOOKUP(Участки[[#This Row],[Номер участка]],Договоры7[#All],2,FALSE)</f>
        <v>#N/A</v>
      </c>
      <c r="I198" s="13" t="str">
        <f>IF(ISNUMBER(Участки[[#This Row],[УНП]]),VLOOKUP(Участки[[#This Row],[УНП]],Покупатели[[УНП]:[ФИО Покупателя]],2,FALSE),"")</f>
        <v/>
      </c>
    </row>
    <row r="199" spans="1:9" s="10" customFormat="1" x14ac:dyDescent="0.3">
      <c r="A199" s="9">
        <f t="shared" si="3"/>
        <v>198</v>
      </c>
      <c r="B199" s="11" t="s">
        <v>7</v>
      </c>
      <c r="C199" s="12">
        <v>1610</v>
      </c>
      <c r="D199" s="32">
        <v>975</v>
      </c>
      <c r="E199" s="13" t="s">
        <v>12</v>
      </c>
      <c r="F199" s="13" t="s">
        <v>8</v>
      </c>
      <c r="G199" s="35">
        <f>Участки[[#This Row],[Площадь]]*Цена!$C$1/100</f>
        <v>1365000</v>
      </c>
      <c r="H199" s="40" t="e">
        <f>VLOOKUP(Участки[[#This Row],[Номер участка]],Договоры7[#All],2,FALSE)</f>
        <v>#N/A</v>
      </c>
      <c r="I199" s="13" t="str">
        <f>IF(ISNUMBER(Участки[[#This Row],[УНП]]),VLOOKUP(Участки[[#This Row],[УНП]],Покупатели[[УНП]:[ФИО Покупателя]],2,FALSE),"")</f>
        <v/>
      </c>
    </row>
    <row r="200" spans="1:9" s="25" customFormat="1" x14ac:dyDescent="0.3">
      <c r="A200" s="37">
        <f t="shared" si="3"/>
        <v>199</v>
      </c>
      <c r="B200" s="7" t="s">
        <v>7</v>
      </c>
      <c r="C200" s="28">
        <v>1611</v>
      </c>
      <c r="D200" s="38">
        <v>975</v>
      </c>
      <c r="E200" s="29" t="s">
        <v>10</v>
      </c>
      <c r="F200" s="29" t="s">
        <v>5</v>
      </c>
      <c r="G200" s="39">
        <f>Участки[[#This Row],[Площадь]]*Цена!$C$1/100</f>
        <v>1365000</v>
      </c>
      <c r="H200" s="40" t="e">
        <f>VLOOKUP(Участки[[#This Row],[Номер участка]],Договоры7[#All],2,FALSE)</f>
        <v>#N/A</v>
      </c>
      <c r="I200" s="29" t="str">
        <f>IF(ISNUMBER(Участки[[#This Row],[УНП]]),VLOOKUP(Участки[[#This Row],[УНП]],Покупатели[[УНП]:[ФИО Покупателя]],2,FALSE),"")</f>
        <v/>
      </c>
    </row>
    <row r="201" spans="1:9" s="10" customFormat="1" x14ac:dyDescent="0.3">
      <c r="A201" s="9">
        <f t="shared" si="3"/>
        <v>200</v>
      </c>
      <c r="B201" s="11" t="s">
        <v>7</v>
      </c>
      <c r="C201" s="12">
        <v>1612</v>
      </c>
      <c r="D201" s="32">
        <v>975</v>
      </c>
      <c r="E201" s="13" t="s">
        <v>12</v>
      </c>
      <c r="F201" s="13" t="s">
        <v>8</v>
      </c>
      <c r="G201" s="35">
        <f>Участки[[#This Row],[Площадь]]*Цена!$C$1/100</f>
        <v>1365000</v>
      </c>
      <c r="H201" s="40" t="e">
        <f>VLOOKUP(Участки[[#This Row],[Номер участка]],Договоры7[#All],2,FALSE)</f>
        <v>#N/A</v>
      </c>
      <c r="I201" s="13" t="str">
        <f>IF(ISNUMBER(Участки[[#This Row],[УНП]]),VLOOKUP(Участки[[#This Row],[УНП]],Покупатели[[УНП]:[ФИО Покупателя]],2,FALSE),"")</f>
        <v/>
      </c>
    </row>
    <row r="202" spans="1:9" s="15" customFormat="1" x14ac:dyDescent="0.3">
      <c r="A202" s="14">
        <f t="shared" si="3"/>
        <v>201</v>
      </c>
      <c r="B202" s="16" t="s">
        <v>7</v>
      </c>
      <c r="C202" s="17">
        <v>1613</v>
      </c>
      <c r="D202" s="33">
        <v>975</v>
      </c>
      <c r="E202" s="13" t="s">
        <v>12</v>
      </c>
      <c r="F202" s="18" t="s">
        <v>8</v>
      </c>
      <c r="G202" s="35">
        <f>Участки[[#This Row],[Площадь]]*Цена!$C$1/100</f>
        <v>1365000</v>
      </c>
      <c r="H202" s="40" t="e">
        <f>VLOOKUP(Участки[[#This Row],[Номер участка]],Договоры7[#All],2,FALSE)</f>
        <v>#N/A</v>
      </c>
      <c r="I202" s="18" t="str">
        <f>IF(ISNUMBER(Участки[[#This Row],[УНП]]),VLOOKUP(Участки[[#This Row],[УНП]],Покупатели[[УНП]:[ФИО Покупателя]],2,FALSE),"")</f>
        <v/>
      </c>
    </row>
    <row r="203" spans="1:9" s="15" customFormat="1" x14ac:dyDescent="0.3">
      <c r="A203" s="14">
        <f t="shared" si="3"/>
        <v>202</v>
      </c>
      <c r="B203" s="16" t="s">
        <v>7</v>
      </c>
      <c r="C203" s="17">
        <v>1614</v>
      </c>
      <c r="D203" s="33">
        <v>975</v>
      </c>
      <c r="E203" s="13" t="s">
        <v>12</v>
      </c>
      <c r="F203" s="18" t="s">
        <v>8</v>
      </c>
      <c r="G203" s="35">
        <f>Участки[[#This Row],[Площадь]]*Цена!$C$1/100</f>
        <v>1365000</v>
      </c>
      <c r="H203" s="40" t="e">
        <f>VLOOKUP(Участки[[#This Row],[Номер участка]],Договоры7[#All],2,FALSE)</f>
        <v>#N/A</v>
      </c>
      <c r="I203" s="18" t="str">
        <f>IF(ISNUMBER(Участки[[#This Row],[УНП]]),VLOOKUP(Участки[[#This Row],[УНП]],Покупатели[[УНП]:[ФИО Покупателя]],2,FALSE),"")</f>
        <v/>
      </c>
    </row>
    <row r="204" spans="1:9" s="10" customFormat="1" x14ac:dyDescent="0.3">
      <c r="A204" s="9">
        <f t="shared" si="3"/>
        <v>203</v>
      </c>
      <c r="B204" s="11" t="s">
        <v>7</v>
      </c>
      <c r="C204" s="12"/>
      <c r="D204" s="32">
        <f>438+487</f>
        <v>925</v>
      </c>
      <c r="E204" s="13" t="s">
        <v>12</v>
      </c>
      <c r="F204" s="13" t="s">
        <v>8</v>
      </c>
      <c r="G204" s="35">
        <f>Участки[[#This Row],[Площадь]]*Цена!$C$1/100</f>
        <v>1295000</v>
      </c>
      <c r="H204" s="40" t="e">
        <f>VLOOKUP(Участки[[#This Row],[Номер участка]],Договоры7[#All],2,FALSE)</f>
        <v>#N/A</v>
      </c>
      <c r="I204" s="13" t="str">
        <f>IF(ISNUMBER(Участки[[#This Row],[УНП]]),VLOOKUP(Участки[[#This Row],[УНП]],Покупатели[[УНП]:[ФИО Покупателя]],2,FALSE),"")</f>
        <v/>
      </c>
    </row>
    <row r="205" spans="1:9" s="10" customFormat="1" x14ac:dyDescent="0.3">
      <c r="A205" s="9">
        <f t="shared" si="3"/>
        <v>204</v>
      </c>
      <c r="B205" s="11" t="s">
        <v>7</v>
      </c>
      <c r="C205" s="12">
        <v>1616</v>
      </c>
      <c r="D205" s="32">
        <v>975</v>
      </c>
      <c r="E205" s="13" t="s">
        <v>12</v>
      </c>
      <c r="F205" s="13" t="s">
        <v>8</v>
      </c>
      <c r="G205" s="35">
        <f>Участки[[#This Row],[Площадь]]*Цена!$C$1/100</f>
        <v>1365000</v>
      </c>
      <c r="H205" s="40" t="e">
        <f>VLOOKUP(Участки[[#This Row],[Номер участка]],Договоры7[#All],2,FALSE)</f>
        <v>#N/A</v>
      </c>
      <c r="I205" s="13" t="str">
        <f>IF(ISNUMBER(Участки[[#This Row],[УНП]]),VLOOKUP(Участки[[#This Row],[УНП]],Покупатели[[УНП]:[ФИО Покупателя]],2,FALSE),"")</f>
        <v/>
      </c>
    </row>
    <row r="206" spans="1:9" s="10" customFormat="1" x14ac:dyDescent="0.3">
      <c r="A206" s="9">
        <f t="shared" si="3"/>
        <v>205</v>
      </c>
      <c r="B206" s="11" t="s">
        <v>7</v>
      </c>
      <c r="C206" s="12">
        <v>1617</v>
      </c>
      <c r="D206" s="32">
        <v>975</v>
      </c>
      <c r="E206" s="13" t="s">
        <v>12</v>
      </c>
      <c r="F206" s="13" t="s">
        <v>8</v>
      </c>
      <c r="G206" s="35">
        <f>Участки[[#This Row],[Площадь]]*Цена!$C$1/100</f>
        <v>1365000</v>
      </c>
      <c r="H206" s="40" t="e">
        <f>VLOOKUP(Участки[[#This Row],[Номер участка]],Договоры7[#All],2,FALSE)</f>
        <v>#N/A</v>
      </c>
      <c r="I206" s="13" t="str">
        <f>IF(ISNUMBER(Участки[[#This Row],[УНП]]),VLOOKUP(Участки[[#This Row],[УНП]],Покупатели[[УНП]:[ФИО Покупателя]],2,FALSE),"")</f>
        <v/>
      </c>
    </row>
    <row r="207" spans="1:9" s="10" customFormat="1" x14ac:dyDescent="0.3">
      <c r="A207" s="9">
        <f t="shared" si="3"/>
        <v>206</v>
      </c>
      <c r="B207" s="11" t="s">
        <v>7</v>
      </c>
      <c r="C207" s="12">
        <v>1618</v>
      </c>
      <c r="D207" s="32">
        <v>975</v>
      </c>
      <c r="E207" s="13" t="s">
        <v>12</v>
      </c>
      <c r="F207" s="13" t="s">
        <v>8</v>
      </c>
      <c r="G207" s="35">
        <f>Участки[[#This Row],[Площадь]]*Цена!$C$1/100</f>
        <v>1365000</v>
      </c>
      <c r="H207" s="40" t="e">
        <f>VLOOKUP(Участки[[#This Row],[Номер участка]],Договоры7[#All],2,FALSE)</f>
        <v>#N/A</v>
      </c>
      <c r="I207" s="13" t="str">
        <f>IF(ISNUMBER(Участки[[#This Row],[УНП]]),VLOOKUP(Участки[[#This Row],[УНП]],Покупатели[[УНП]:[ФИО Покупателя]],2,FALSE),"")</f>
        <v/>
      </c>
    </row>
    <row r="208" spans="1:9" s="10" customFormat="1" x14ac:dyDescent="0.3">
      <c r="A208" s="9">
        <f t="shared" si="3"/>
        <v>207</v>
      </c>
      <c r="B208" s="11" t="s">
        <v>7</v>
      </c>
      <c r="C208" s="12">
        <v>1619</v>
      </c>
      <c r="D208" s="32">
        <v>975</v>
      </c>
      <c r="E208" s="13" t="s">
        <v>12</v>
      </c>
      <c r="F208" s="13" t="s">
        <v>8</v>
      </c>
      <c r="G208" s="35">
        <f>Участки[[#This Row],[Площадь]]*Цена!$C$1/100</f>
        <v>1365000</v>
      </c>
      <c r="H208" s="40" t="e">
        <f>VLOOKUP(Участки[[#This Row],[Номер участка]],Договоры7[#All],2,FALSE)</f>
        <v>#N/A</v>
      </c>
      <c r="I208" s="13" t="str">
        <f>IF(ISNUMBER(Участки[[#This Row],[УНП]]),VLOOKUP(Участки[[#This Row],[УНП]],Покупатели[[УНП]:[ФИО Покупателя]],2,FALSE),"")</f>
        <v/>
      </c>
    </row>
    <row r="209" spans="1:9" s="10" customFormat="1" x14ac:dyDescent="0.3">
      <c r="A209" s="9">
        <f t="shared" si="3"/>
        <v>208</v>
      </c>
      <c r="B209" s="11" t="s">
        <v>7</v>
      </c>
      <c r="C209" s="12">
        <v>1620</v>
      </c>
      <c r="D209" s="32">
        <v>975</v>
      </c>
      <c r="E209" s="13" t="s">
        <v>12</v>
      </c>
      <c r="F209" s="13" t="s">
        <v>8</v>
      </c>
      <c r="G209" s="35">
        <f>Участки[[#This Row],[Площадь]]*Цена!$C$1/100</f>
        <v>1365000</v>
      </c>
      <c r="H209" s="40" t="e">
        <f>VLOOKUP(Участки[[#This Row],[Номер участка]],Договоры7[#All],2,FALSE)</f>
        <v>#N/A</v>
      </c>
      <c r="I209" s="13" t="str">
        <f>IF(ISNUMBER(Участки[[#This Row],[УНП]]),VLOOKUP(Участки[[#This Row],[УНП]],Покупатели[[УНП]:[ФИО Покупателя]],2,FALSE),"")</f>
        <v/>
      </c>
    </row>
    <row r="210" spans="1:9" s="10" customFormat="1" x14ac:dyDescent="0.3">
      <c r="A210" s="9">
        <f t="shared" si="3"/>
        <v>209</v>
      </c>
      <c r="B210" s="11" t="s">
        <v>7</v>
      </c>
      <c r="C210" s="12">
        <v>1321</v>
      </c>
      <c r="D210" s="32">
        <v>975</v>
      </c>
      <c r="E210" s="13" t="s">
        <v>12</v>
      </c>
      <c r="F210" s="13" t="s">
        <v>8</v>
      </c>
      <c r="G210" s="35">
        <f>Участки[[#This Row],[Площадь]]*Цена!$C$1/100</f>
        <v>1365000</v>
      </c>
      <c r="H210" s="40" t="e">
        <f>VLOOKUP(Участки[[#This Row],[Номер участка]],Договоры7[#All],2,FALSE)</f>
        <v>#N/A</v>
      </c>
      <c r="I210" s="13" t="str">
        <f>IF(ISNUMBER(Участки[[#This Row],[УНП]]),VLOOKUP(Участки[[#This Row],[УНП]],Покупатели[[УНП]:[ФИО Покупателя]],2,FALSE),"")</f>
        <v/>
      </c>
    </row>
    <row r="211" spans="1:9" s="10" customFormat="1" x14ac:dyDescent="0.3">
      <c r="A211" s="9">
        <f t="shared" si="3"/>
        <v>210</v>
      </c>
      <c r="B211" s="11" t="s">
        <v>7</v>
      </c>
      <c r="C211" s="12">
        <v>1622</v>
      </c>
      <c r="D211" s="32">
        <v>975</v>
      </c>
      <c r="E211" s="13" t="s">
        <v>12</v>
      </c>
      <c r="F211" s="13" t="s">
        <v>8</v>
      </c>
      <c r="G211" s="35">
        <f>Участки[[#This Row],[Площадь]]*Цена!$C$1/100</f>
        <v>1365000</v>
      </c>
      <c r="H211" s="40" t="e">
        <f>VLOOKUP(Участки[[#This Row],[Номер участка]],Договоры7[#All],2,FALSE)</f>
        <v>#N/A</v>
      </c>
      <c r="I211" s="13" t="str">
        <f>IF(ISNUMBER(Участки[[#This Row],[УНП]]),VLOOKUP(Участки[[#This Row],[УНП]],Покупатели[[УНП]:[ФИО Покупателя]],2,FALSE),"")</f>
        <v/>
      </c>
    </row>
    <row r="212" spans="1:9" s="10" customFormat="1" x14ac:dyDescent="0.3">
      <c r="A212" s="9">
        <f t="shared" si="3"/>
        <v>211</v>
      </c>
      <c r="B212" s="11" t="s">
        <v>7</v>
      </c>
      <c r="C212" s="12">
        <v>1623</v>
      </c>
      <c r="D212" s="32">
        <v>975</v>
      </c>
      <c r="E212" s="13" t="s">
        <v>12</v>
      </c>
      <c r="F212" s="13" t="s">
        <v>8</v>
      </c>
      <c r="G212" s="35">
        <f>Участки[[#This Row],[Площадь]]*Цена!$C$1/100</f>
        <v>1365000</v>
      </c>
      <c r="H212" s="40" t="e">
        <f>VLOOKUP(Участки[[#This Row],[Номер участка]],Договоры7[#All],2,FALSE)</f>
        <v>#N/A</v>
      </c>
      <c r="I212" s="13" t="str">
        <f>IF(ISNUMBER(Участки[[#This Row],[УНП]]),VLOOKUP(Участки[[#This Row],[УНП]],Покупатели[[УНП]:[ФИО Покупателя]],2,FALSE),"")</f>
        <v/>
      </c>
    </row>
    <row r="213" spans="1:9" s="10" customFormat="1" x14ac:dyDescent="0.3">
      <c r="A213" s="9">
        <f t="shared" si="3"/>
        <v>212</v>
      </c>
      <c r="B213" s="11" t="s">
        <v>7</v>
      </c>
      <c r="C213" s="12"/>
      <c r="D213" s="32">
        <f>488+487</f>
        <v>975</v>
      </c>
      <c r="E213" s="13" t="s">
        <v>12</v>
      </c>
      <c r="F213" s="13" t="s">
        <v>8</v>
      </c>
      <c r="G213" s="35">
        <f>Участки[[#This Row],[Площадь]]*Цена!$C$1/100</f>
        <v>1365000</v>
      </c>
      <c r="H213" s="40" t="e">
        <f>VLOOKUP(Участки[[#This Row],[Номер участка]],Договоры7[#All],2,FALSE)</f>
        <v>#N/A</v>
      </c>
      <c r="I213" s="13" t="str">
        <f>IF(ISNUMBER(Участки[[#This Row],[УНП]]),VLOOKUP(Участки[[#This Row],[УНП]],Покупатели[[УНП]:[ФИО Покупателя]],2,FALSE),"")</f>
        <v/>
      </c>
    </row>
    <row r="214" spans="1:9" s="10" customFormat="1" x14ac:dyDescent="0.3">
      <c r="A214" s="9">
        <f t="shared" si="3"/>
        <v>213</v>
      </c>
      <c r="B214" s="11" t="s">
        <v>7</v>
      </c>
      <c r="C214" s="12">
        <v>1631</v>
      </c>
      <c r="D214" s="32">
        <v>975</v>
      </c>
      <c r="E214" s="13" t="s">
        <v>12</v>
      </c>
      <c r="F214" s="13" t="s">
        <v>8</v>
      </c>
      <c r="G214" s="35">
        <f>Участки[[#This Row],[Площадь]]*Цена!$C$1/100</f>
        <v>1365000</v>
      </c>
      <c r="H214" s="40" t="e">
        <f>VLOOKUP(Участки[[#This Row],[Номер участка]],Договоры7[#All],2,FALSE)</f>
        <v>#N/A</v>
      </c>
      <c r="I214" s="13" t="str">
        <f>IF(ISNUMBER(Участки[[#This Row],[УНП]]),VLOOKUP(Участки[[#This Row],[УНП]],Покупатели[[УНП]:[ФИО Покупателя]],2,FALSE),"")</f>
        <v/>
      </c>
    </row>
    <row r="215" spans="1:9" s="10" customFormat="1" x14ac:dyDescent="0.3">
      <c r="A215" s="9">
        <f t="shared" si="3"/>
        <v>214</v>
      </c>
      <c r="B215" s="11" t="s">
        <v>7</v>
      </c>
      <c r="C215" s="12">
        <v>1632</v>
      </c>
      <c r="D215" s="32">
        <v>975</v>
      </c>
      <c r="E215" s="13" t="s">
        <v>12</v>
      </c>
      <c r="F215" s="13" t="s">
        <v>8</v>
      </c>
      <c r="G215" s="35">
        <f>Участки[[#This Row],[Площадь]]*Цена!$C$1/100</f>
        <v>1365000</v>
      </c>
      <c r="H215" s="40" t="e">
        <f>VLOOKUP(Участки[[#This Row],[Номер участка]],Договоры7[#All],2,FALSE)</f>
        <v>#N/A</v>
      </c>
      <c r="I215" s="13" t="str">
        <f>IF(ISNUMBER(Участки[[#This Row],[УНП]]),VLOOKUP(Участки[[#This Row],[УНП]],Покупатели[[УНП]:[ФИО Покупателя]],2,FALSE),"")</f>
        <v/>
      </c>
    </row>
    <row r="216" spans="1:9" s="10" customFormat="1" x14ac:dyDescent="0.3">
      <c r="A216" s="9">
        <f t="shared" si="3"/>
        <v>215</v>
      </c>
      <c r="B216" s="11" t="s">
        <v>7</v>
      </c>
      <c r="C216" s="12">
        <v>1633</v>
      </c>
      <c r="D216" s="32">
        <v>975</v>
      </c>
      <c r="E216" s="13" t="s">
        <v>12</v>
      </c>
      <c r="F216" s="13" t="s">
        <v>8</v>
      </c>
      <c r="G216" s="35">
        <f>Участки[[#This Row],[Площадь]]*Цена!$C$1/100</f>
        <v>1365000</v>
      </c>
      <c r="H216" s="40" t="e">
        <f>VLOOKUP(Участки[[#This Row],[Номер участка]],Договоры7[#All],2,FALSE)</f>
        <v>#N/A</v>
      </c>
      <c r="I216" s="13" t="str">
        <f>IF(ISNUMBER(Участки[[#This Row],[УНП]]),VLOOKUP(Участки[[#This Row],[УНП]],Покупатели[[УНП]:[ФИО Покупателя]],2,FALSE),"")</f>
        <v/>
      </c>
    </row>
    <row r="217" spans="1:9" s="10" customFormat="1" x14ac:dyDescent="0.3">
      <c r="A217" s="9">
        <f t="shared" si="3"/>
        <v>216</v>
      </c>
      <c r="B217" s="11" t="s">
        <v>7</v>
      </c>
      <c r="C217" s="12">
        <v>1634</v>
      </c>
      <c r="D217" s="32">
        <v>975</v>
      </c>
      <c r="E217" s="13" t="s">
        <v>12</v>
      </c>
      <c r="F217" s="13" t="s">
        <v>8</v>
      </c>
      <c r="G217" s="35">
        <f>Участки[[#This Row],[Площадь]]*Цена!$C$1/100</f>
        <v>1365000</v>
      </c>
      <c r="H217" s="40" t="e">
        <f>VLOOKUP(Участки[[#This Row],[Номер участка]],Договоры7[#All],2,FALSE)</f>
        <v>#N/A</v>
      </c>
      <c r="I217" s="13" t="str">
        <f>IF(ISNUMBER(Участки[[#This Row],[УНП]]),VLOOKUP(Участки[[#This Row],[УНП]],Покупатели[[УНП]:[ФИО Покупателя]],2,FALSE),"")</f>
        <v/>
      </c>
    </row>
    <row r="218" spans="1:9" s="10" customFormat="1" x14ac:dyDescent="0.3">
      <c r="A218" s="9">
        <f t="shared" si="3"/>
        <v>217</v>
      </c>
      <c r="B218" s="11" t="s">
        <v>7</v>
      </c>
      <c r="C218" s="12">
        <v>1640</v>
      </c>
      <c r="D218" s="32">
        <v>975</v>
      </c>
      <c r="E218" s="13" t="s">
        <v>12</v>
      </c>
      <c r="F218" s="13" t="s">
        <v>8</v>
      </c>
      <c r="G218" s="35">
        <f>Участки[[#This Row],[Площадь]]*Цена!$C$1/100</f>
        <v>1365000</v>
      </c>
      <c r="H218" s="40" t="e">
        <f>VLOOKUP(Участки[[#This Row],[Номер участка]],Договоры7[#All],2,FALSE)</f>
        <v>#N/A</v>
      </c>
      <c r="I218" s="13" t="str">
        <f>IF(ISNUMBER(Участки[[#This Row],[УНП]]),VLOOKUP(Участки[[#This Row],[УНП]],Покупатели[[УНП]:[ФИО Покупателя]],2,FALSE),"")</f>
        <v/>
      </c>
    </row>
    <row r="219" spans="1:9" s="10" customFormat="1" x14ac:dyDescent="0.3">
      <c r="A219" s="9">
        <f t="shared" si="3"/>
        <v>218</v>
      </c>
      <c r="B219" s="11" t="s">
        <v>7</v>
      </c>
      <c r="C219" s="12">
        <v>1636</v>
      </c>
      <c r="D219" s="32">
        <v>975</v>
      </c>
      <c r="E219" s="13" t="s">
        <v>12</v>
      </c>
      <c r="F219" s="13" t="s">
        <v>8</v>
      </c>
      <c r="G219" s="35">
        <f>Участки[[#This Row],[Площадь]]*Цена!$C$1/100</f>
        <v>1365000</v>
      </c>
      <c r="H219" s="40" t="e">
        <f>VLOOKUP(Участки[[#This Row],[Номер участка]],Договоры7[#All],2,FALSE)</f>
        <v>#N/A</v>
      </c>
      <c r="I219" s="13" t="str">
        <f>IF(ISNUMBER(Участки[[#This Row],[УНП]]),VLOOKUP(Участки[[#This Row],[УНП]],Покупатели[[УНП]:[ФИО Покупателя]],2,FALSE),"")</f>
        <v/>
      </c>
    </row>
    <row r="220" spans="1:9" s="10" customFormat="1" x14ac:dyDescent="0.3">
      <c r="A220" s="9">
        <f t="shared" si="3"/>
        <v>219</v>
      </c>
      <c r="B220" s="11" t="s">
        <v>7</v>
      </c>
      <c r="C220" s="12">
        <v>1637</v>
      </c>
      <c r="D220" s="32">
        <v>975</v>
      </c>
      <c r="E220" s="13" t="s">
        <v>12</v>
      </c>
      <c r="F220" s="13" t="s">
        <v>8</v>
      </c>
      <c r="G220" s="35">
        <f>Участки[[#This Row],[Площадь]]*Цена!$C$1/100</f>
        <v>1365000</v>
      </c>
      <c r="H220" s="40" t="e">
        <f>VLOOKUP(Участки[[#This Row],[Номер участка]],Договоры7[#All],2,FALSE)</f>
        <v>#N/A</v>
      </c>
      <c r="I220" s="13" t="str">
        <f>IF(ISNUMBER(Участки[[#This Row],[УНП]]),VLOOKUP(Участки[[#This Row],[УНП]],Покупатели[[УНП]:[ФИО Покупателя]],2,FALSE),"")</f>
        <v/>
      </c>
    </row>
    <row r="221" spans="1:9" s="10" customFormat="1" x14ac:dyDescent="0.3">
      <c r="A221" s="9">
        <f t="shared" si="3"/>
        <v>220</v>
      </c>
      <c r="B221" s="11" t="s">
        <v>7</v>
      </c>
      <c r="C221" s="12">
        <v>1625</v>
      </c>
      <c r="D221" s="32">
        <v>975</v>
      </c>
      <c r="E221" s="13" t="s">
        <v>12</v>
      </c>
      <c r="F221" s="13" t="s">
        <v>8</v>
      </c>
      <c r="G221" s="35">
        <f>Участки[[#This Row],[Площадь]]*Цена!$C$1/100</f>
        <v>1365000</v>
      </c>
      <c r="H221" s="40" t="e">
        <f>VLOOKUP(Участки[[#This Row],[Номер участка]],Договоры7[#All],2,FALSE)</f>
        <v>#N/A</v>
      </c>
      <c r="I221" s="13" t="str">
        <f>IF(ISNUMBER(Участки[[#This Row],[УНП]]),VLOOKUP(Участки[[#This Row],[УНП]],Покупатели[[УНП]:[ФИО Покупателя]],2,FALSE),"")</f>
        <v/>
      </c>
    </row>
    <row r="222" spans="1:9" s="10" customFormat="1" x14ac:dyDescent="0.3">
      <c r="A222" s="9">
        <f t="shared" si="3"/>
        <v>221</v>
      </c>
      <c r="B222" s="11" t="s">
        <v>7</v>
      </c>
      <c r="C222" s="12">
        <v>1626</v>
      </c>
      <c r="D222" s="32">
        <v>975</v>
      </c>
      <c r="E222" s="13" t="s">
        <v>12</v>
      </c>
      <c r="F222" s="13" t="s">
        <v>8</v>
      </c>
      <c r="G222" s="35">
        <f>Участки[[#This Row],[Площадь]]*Цена!$C$1/100</f>
        <v>1365000</v>
      </c>
      <c r="H222" s="40" t="e">
        <f>VLOOKUP(Участки[[#This Row],[Номер участка]],Договоры7[#All],2,FALSE)</f>
        <v>#N/A</v>
      </c>
      <c r="I222" s="13" t="str">
        <f>IF(ISNUMBER(Участки[[#This Row],[УНП]]),VLOOKUP(Участки[[#This Row],[УНП]],Покупатели[[УНП]:[ФИО Покупателя]],2,FALSE),"")</f>
        <v/>
      </c>
    </row>
    <row r="223" spans="1:9" s="10" customFormat="1" x14ac:dyDescent="0.3">
      <c r="A223" s="9">
        <f t="shared" si="3"/>
        <v>222</v>
      </c>
      <c r="B223" s="11" t="s">
        <v>7</v>
      </c>
      <c r="C223" s="12">
        <v>1629</v>
      </c>
      <c r="D223" s="32">
        <v>975</v>
      </c>
      <c r="E223" s="13" t="s">
        <v>12</v>
      </c>
      <c r="F223" s="13" t="s">
        <v>8</v>
      </c>
      <c r="G223" s="35">
        <f>Участки[[#This Row],[Площадь]]*Цена!$C$1/100</f>
        <v>1365000</v>
      </c>
      <c r="H223" s="40" t="e">
        <f>VLOOKUP(Участки[[#This Row],[Номер участка]],Договоры7[#All],2,FALSE)</f>
        <v>#N/A</v>
      </c>
      <c r="I223" s="13" t="str">
        <f>IF(ISNUMBER(Участки[[#This Row],[УНП]]),VLOOKUP(Участки[[#This Row],[УНП]],Покупатели[[УНП]:[ФИО Покупателя]],2,FALSE),"")</f>
        <v/>
      </c>
    </row>
    <row r="224" spans="1:9" s="10" customFormat="1" x14ac:dyDescent="0.3">
      <c r="A224" s="9">
        <f t="shared" si="3"/>
        <v>223</v>
      </c>
      <c r="B224" s="11" t="s">
        <v>7</v>
      </c>
      <c r="C224" s="12">
        <v>1628</v>
      </c>
      <c r="D224" s="32">
        <v>975</v>
      </c>
      <c r="E224" s="13" t="s">
        <v>12</v>
      </c>
      <c r="F224" s="13" t="s">
        <v>8</v>
      </c>
      <c r="G224" s="35">
        <f>Участки[[#This Row],[Площадь]]*Цена!$C$1/100</f>
        <v>1365000</v>
      </c>
      <c r="H224" s="40" t="e">
        <f>VLOOKUP(Участки[[#This Row],[Номер участка]],Договоры7[#All],2,FALSE)</f>
        <v>#N/A</v>
      </c>
      <c r="I224" s="13" t="str">
        <f>IF(ISNUMBER(Участки[[#This Row],[УНП]]),VLOOKUP(Участки[[#This Row],[УНП]],Покупатели[[УНП]:[ФИО Покупателя]],2,FALSE),"")</f>
        <v/>
      </c>
    </row>
    <row r="225" spans="1:9" s="10" customFormat="1" x14ac:dyDescent="0.3">
      <c r="A225" s="9">
        <f t="shared" si="3"/>
        <v>224</v>
      </c>
      <c r="B225" s="11" t="s">
        <v>7</v>
      </c>
      <c r="C225" s="12">
        <v>1627</v>
      </c>
      <c r="D225" s="32">
        <v>975</v>
      </c>
      <c r="E225" s="13" t="s">
        <v>12</v>
      </c>
      <c r="F225" s="13" t="s">
        <v>8</v>
      </c>
      <c r="G225" s="35">
        <f>Участки[[#This Row],[Площадь]]*Цена!$C$1/100</f>
        <v>1365000</v>
      </c>
      <c r="H225" s="40" t="e">
        <f>VLOOKUP(Участки[[#This Row],[Номер участка]],Договоры7[#All],2,FALSE)</f>
        <v>#N/A</v>
      </c>
      <c r="I225" s="13" t="str">
        <f>IF(ISNUMBER(Участки[[#This Row],[УНП]]),VLOOKUP(Участки[[#This Row],[УНП]],Покупатели[[УНП]:[ФИО Покупателя]],2,FALSE),"")</f>
        <v/>
      </c>
    </row>
    <row r="226" spans="1:9" s="10" customFormat="1" x14ac:dyDescent="0.3">
      <c r="A226" s="9">
        <f t="shared" si="3"/>
        <v>225</v>
      </c>
      <c r="B226" s="11" t="s">
        <v>7</v>
      </c>
      <c r="C226" s="12">
        <v>1638</v>
      </c>
      <c r="D226" s="32">
        <v>975</v>
      </c>
      <c r="E226" s="13" t="s">
        <v>12</v>
      </c>
      <c r="F226" s="13" t="s">
        <v>8</v>
      </c>
      <c r="G226" s="35">
        <f>Участки[[#This Row],[Площадь]]*Цена!$C$1/100</f>
        <v>1365000</v>
      </c>
      <c r="H226" s="40" t="e">
        <f>VLOOKUP(Участки[[#This Row],[Номер участка]],Договоры7[#All],2,FALSE)</f>
        <v>#N/A</v>
      </c>
      <c r="I226" s="13" t="str">
        <f>IF(ISNUMBER(Участки[[#This Row],[УНП]]),VLOOKUP(Участки[[#This Row],[УНП]],Покупатели[[УНП]:[ФИО Покупателя]],2,FALSE),"")</f>
        <v/>
      </c>
    </row>
    <row r="227" spans="1:9" s="10" customFormat="1" x14ac:dyDescent="0.3">
      <c r="A227" s="9">
        <f t="shared" si="3"/>
        <v>226</v>
      </c>
      <c r="B227" s="11" t="s">
        <v>7</v>
      </c>
      <c r="C227" s="12">
        <v>1639</v>
      </c>
      <c r="D227" s="32">
        <v>975</v>
      </c>
      <c r="E227" s="13" t="s">
        <v>12</v>
      </c>
      <c r="F227" s="13" t="s">
        <v>8</v>
      </c>
      <c r="G227" s="35">
        <f>Участки[[#This Row],[Площадь]]*Цена!$C$1/100</f>
        <v>1365000</v>
      </c>
      <c r="H227" s="40" t="e">
        <f>VLOOKUP(Участки[[#This Row],[Номер участка]],Договоры7[#All],2,FALSE)</f>
        <v>#N/A</v>
      </c>
      <c r="I227" s="13" t="str">
        <f>IF(ISNUMBER(Участки[[#This Row],[УНП]]),VLOOKUP(Участки[[#This Row],[УНП]],Покупатели[[УНП]:[ФИО Покупателя]],2,FALSE),"")</f>
        <v/>
      </c>
    </row>
    <row r="228" spans="1:9" s="10" customFormat="1" x14ac:dyDescent="0.3">
      <c r="A228" s="9">
        <f t="shared" si="3"/>
        <v>227</v>
      </c>
      <c r="B228" s="11" t="s">
        <v>7</v>
      </c>
      <c r="C228" s="12">
        <v>1635</v>
      </c>
      <c r="D228" s="32">
        <v>975</v>
      </c>
      <c r="E228" s="13" t="s">
        <v>12</v>
      </c>
      <c r="F228" s="13" t="s">
        <v>8</v>
      </c>
      <c r="G228" s="35">
        <f>Участки[[#This Row],[Площадь]]*Цена!$C$1/100</f>
        <v>1365000</v>
      </c>
      <c r="H228" s="40" t="e">
        <f>VLOOKUP(Участки[[#This Row],[Номер участка]],Договоры7[#All],2,FALSE)</f>
        <v>#N/A</v>
      </c>
      <c r="I228" s="13" t="str">
        <f>IF(ISNUMBER(Участки[[#This Row],[УНП]]),VLOOKUP(Участки[[#This Row],[УНП]],Покупатели[[УНП]:[ФИО Покупателя]],2,FALSE),"")</f>
        <v/>
      </c>
    </row>
  </sheetData>
  <phoneticPr fontId="6" type="noConversion"/>
  <pageMargins left="0.70866141732283472" right="0.70866141732283472" top="0.74803149606299213" bottom="0.74803149606299213" header="0.31496062992125984" footer="0.31496062992125984"/>
  <pageSetup paperSize="9" scale="79" fitToHeight="6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85EB9-CFA9-4513-8ADB-BC9C42FEA45E}">
  <sheetPr codeName="Лист3"/>
  <dimension ref="A1:M11"/>
  <sheetViews>
    <sheetView zoomScale="85" zoomScaleNormal="85" workbookViewId="0">
      <selection activeCell="H21" sqref="H21"/>
    </sheetView>
  </sheetViews>
  <sheetFormatPr defaultColWidth="8.88671875" defaultRowHeight="14.4" x14ac:dyDescent="0.3"/>
  <cols>
    <col min="1" max="1" width="8.44140625" style="30" customWidth="1"/>
    <col min="2" max="2" width="30.44140625" style="1" bestFit="1" customWidth="1"/>
    <col min="3" max="3" width="10.88671875" style="1" customWidth="1"/>
    <col min="4" max="4" width="16.5546875" style="24" bestFit="1" customWidth="1"/>
    <col min="5" max="5" width="21" style="58" customWidth="1"/>
    <col min="6" max="6" width="12.88671875" style="72" bestFit="1" customWidth="1"/>
    <col min="7" max="7" width="13" style="1" customWidth="1"/>
    <col min="8" max="8" width="12.88671875" style="24" customWidth="1"/>
    <col min="9" max="9" width="23" style="1" customWidth="1"/>
    <col min="10" max="10" width="10.109375" style="1" customWidth="1"/>
    <col min="11" max="11" width="29.6640625" style="1" customWidth="1"/>
    <col min="12" max="12" width="16.33203125" style="1" customWidth="1"/>
    <col min="13" max="13" width="17.21875" style="72" customWidth="1"/>
    <col min="14" max="16384" width="8.88671875" style="1"/>
  </cols>
  <sheetData>
    <row r="1" spans="1:13" ht="63" customHeight="1" x14ac:dyDescent="0.3">
      <c r="A1" s="19" t="s">
        <v>36</v>
      </c>
      <c r="B1" s="19" t="s">
        <v>14</v>
      </c>
      <c r="C1" s="19" t="s">
        <v>47</v>
      </c>
      <c r="D1" s="20" t="s">
        <v>15</v>
      </c>
      <c r="E1" s="20" t="s">
        <v>46</v>
      </c>
      <c r="F1" s="70" t="s">
        <v>16</v>
      </c>
      <c r="G1" s="19" t="s">
        <v>17</v>
      </c>
      <c r="H1" s="20" t="s">
        <v>18</v>
      </c>
      <c r="I1" s="19" t="s">
        <v>21</v>
      </c>
      <c r="J1" s="19" t="s">
        <v>19</v>
      </c>
      <c r="K1" s="19" t="s">
        <v>20</v>
      </c>
      <c r="L1" s="19" t="s">
        <v>34</v>
      </c>
      <c r="M1" s="70" t="s">
        <v>35</v>
      </c>
    </row>
    <row r="2" spans="1:13" x14ac:dyDescent="0.3">
      <c r="A2" s="30">
        <f>ROW(Покупатели[[#This Row],[ФИО Покупателя]])-1</f>
        <v>1</v>
      </c>
      <c r="B2" s="1" t="s">
        <v>44</v>
      </c>
      <c r="C2" s="1" t="s">
        <v>62</v>
      </c>
      <c r="D2" s="21">
        <v>36396</v>
      </c>
      <c r="E2" s="58" t="s">
        <v>68</v>
      </c>
      <c r="F2" s="69" t="s">
        <v>45</v>
      </c>
      <c r="G2" s="22">
        <v>4569055</v>
      </c>
      <c r="H2" s="21">
        <v>42578</v>
      </c>
      <c r="I2" s="1" t="s">
        <v>48</v>
      </c>
      <c r="J2" s="22" t="s">
        <v>43</v>
      </c>
      <c r="K2" s="1" t="s">
        <v>67</v>
      </c>
      <c r="L2" s="23" t="s">
        <v>43</v>
      </c>
      <c r="M2" s="100"/>
    </row>
    <row r="3" spans="1:13" x14ac:dyDescent="0.3">
      <c r="A3" s="56">
        <f>ROW(Покупатели[[#This Row],[ФИО Покупателя]])-1</f>
        <v>2</v>
      </c>
      <c r="B3" s="1" t="s">
        <v>49</v>
      </c>
      <c r="C3" s="1" t="s">
        <v>62</v>
      </c>
      <c r="D3" s="21">
        <v>28760</v>
      </c>
      <c r="E3" s="58" t="s">
        <v>68</v>
      </c>
      <c r="F3" s="69" t="s">
        <v>45</v>
      </c>
      <c r="G3" s="22">
        <v>4415424</v>
      </c>
      <c r="H3" s="21">
        <v>41690</v>
      </c>
      <c r="I3" s="1" t="s">
        <v>48</v>
      </c>
      <c r="J3" s="22" t="s">
        <v>43</v>
      </c>
      <c r="K3" s="1" t="s">
        <v>66</v>
      </c>
      <c r="L3" s="23" t="s">
        <v>43</v>
      </c>
      <c r="M3" s="100"/>
    </row>
    <row r="4" spans="1:13" x14ac:dyDescent="0.3">
      <c r="A4" s="56">
        <f>ROW(Покупатели[[#This Row],[ФИО Покупателя]])-1</f>
        <v>3</v>
      </c>
      <c r="B4" s="1" t="s">
        <v>50</v>
      </c>
      <c r="C4" s="1" t="s">
        <v>63</v>
      </c>
      <c r="D4" s="21">
        <v>25038</v>
      </c>
      <c r="E4" s="58" t="s">
        <v>81</v>
      </c>
      <c r="F4" s="69">
        <v>5213</v>
      </c>
      <c r="G4" s="22">
        <v>261919</v>
      </c>
      <c r="H4" s="21">
        <v>41534</v>
      </c>
      <c r="I4" s="1" t="s">
        <v>51</v>
      </c>
      <c r="J4" s="1" t="s">
        <v>52</v>
      </c>
      <c r="K4" s="1" t="s">
        <v>64</v>
      </c>
      <c r="L4" s="23" t="s">
        <v>43</v>
      </c>
    </row>
    <row r="5" spans="1:13" x14ac:dyDescent="0.3">
      <c r="A5" s="56">
        <f>ROW(Покупатели[[#This Row],[ФИО Покупателя]])-1</f>
        <v>4</v>
      </c>
      <c r="B5" s="1" t="s">
        <v>53</v>
      </c>
      <c r="C5" s="1" t="s">
        <v>63</v>
      </c>
      <c r="D5" s="21">
        <v>32909</v>
      </c>
      <c r="E5" s="58" t="s">
        <v>82</v>
      </c>
      <c r="F5" s="69">
        <v>6013</v>
      </c>
      <c r="G5" s="22">
        <v>506275</v>
      </c>
      <c r="H5" s="21">
        <v>41662</v>
      </c>
      <c r="I5" s="1" t="s">
        <v>54</v>
      </c>
      <c r="J5" s="1" t="s">
        <v>55</v>
      </c>
      <c r="K5" s="1" t="s">
        <v>78</v>
      </c>
      <c r="L5" s="23" t="s">
        <v>43</v>
      </c>
    </row>
    <row r="6" spans="1:13" x14ac:dyDescent="0.3">
      <c r="A6" s="56">
        <f>ROW(Покупатели[[#This Row],[ФИО Покупателя]])-1</f>
        <v>5</v>
      </c>
      <c r="B6" s="1" t="s">
        <v>84</v>
      </c>
      <c r="C6" s="1" t="s">
        <v>63</v>
      </c>
      <c r="D6" s="21">
        <v>21753</v>
      </c>
      <c r="E6" s="58" t="s">
        <v>85</v>
      </c>
      <c r="F6" s="71" t="s">
        <v>86</v>
      </c>
      <c r="G6" s="22">
        <v>578563</v>
      </c>
      <c r="H6" s="21">
        <v>38378</v>
      </c>
      <c r="I6" s="1" t="s">
        <v>87</v>
      </c>
      <c r="J6" s="1" t="s">
        <v>88</v>
      </c>
      <c r="K6" s="1" t="s">
        <v>90</v>
      </c>
      <c r="L6" s="23" t="s">
        <v>43</v>
      </c>
    </row>
    <row r="7" spans="1:13" x14ac:dyDescent="0.3">
      <c r="A7" s="56">
        <f>ROW(Покупатели[[#This Row],[ФИО Покупателя]])-1</f>
        <v>6</v>
      </c>
      <c r="B7" s="24" t="s">
        <v>69</v>
      </c>
      <c r="C7" s="1" t="s">
        <v>63</v>
      </c>
      <c r="D7" s="21">
        <v>30895</v>
      </c>
      <c r="E7" s="58" t="s">
        <v>79</v>
      </c>
      <c r="F7" s="69">
        <v>4605</v>
      </c>
      <c r="G7" s="22">
        <v>828463</v>
      </c>
      <c r="H7" s="21">
        <v>38203</v>
      </c>
      <c r="I7" s="1" t="s">
        <v>70</v>
      </c>
      <c r="J7" s="1" t="s">
        <v>71</v>
      </c>
      <c r="K7" s="1" t="s">
        <v>72</v>
      </c>
      <c r="L7" s="23" t="s">
        <v>43</v>
      </c>
    </row>
    <row r="8" spans="1:13" x14ac:dyDescent="0.3">
      <c r="A8" s="56">
        <f>ROW(Покупатели[[#This Row],[ФИО Покупателя]])-1</f>
        <v>7</v>
      </c>
      <c r="B8" s="1" t="s">
        <v>73</v>
      </c>
      <c r="C8" s="1" t="s">
        <v>63</v>
      </c>
      <c r="D8" s="21">
        <v>20153</v>
      </c>
      <c r="E8" s="58" t="s">
        <v>74</v>
      </c>
      <c r="F8" s="69">
        <v>8303</v>
      </c>
      <c r="G8" s="22">
        <v>499178</v>
      </c>
      <c r="H8" s="21">
        <v>37852</v>
      </c>
      <c r="I8" s="1" t="s">
        <v>76</v>
      </c>
      <c r="J8" s="1" t="s">
        <v>75</v>
      </c>
      <c r="K8" s="1" t="s">
        <v>77</v>
      </c>
      <c r="L8" s="23" t="s">
        <v>43</v>
      </c>
    </row>
    <row r="9" spans="1:13" x14ac:dyDescent="0.3">
      <c r="A9" s="56">
        <f>ROW(Покупатели[[#This Row],[ФИО Покупателя]])-1</f>
        <v>8</v>
      </c>
      <c r="B9" s="1" t="s">
        <v>91</v>
      </c>
      <c r="C9" s="1" t="s">
        <v>63</v>
      </c>
      <c r="D9" s="21">
        <v>18352</v>
      </c>
      <c r="E9" s="58" t="s">
        <v>94</v>
      </c>
      <c r="F9" s="69">
        <v>6300</v>
      </c>
      <c r="G9" s="22">
        <v>507310</v>
      </c>
      <c r="H9" s="21">
        <v>37034</v>
      </c>
      <c r="I9" s="1" t="s">
        <v>92</v>
      </c>
      <c r="J9" s="1" t="s">
        <v>95</v>
      </c>
      <c r="K9" s="1" t="s">
        <v>93</v>
      </c>
      <c r="L9" s="23" t="s">
        <v>43</v>
      </c>
    </row>
    <row r="10" spans="1:13" x14ac:dyDescent="0.3">
      <c r="A10" s="56">
        <f>ROW(Покупатели[[#This Row],[ФИО Покупателя]])-1</f>
        <v>9</v>
      </c>
      <c r="B10" s="1" t="s">
        <v>96</v>
      </c>
      <c r="C10" s="1" t="s">
        <v>63</v>
      </c>
      <c r="D10" s="21">
        <v>27449</v>
      </c>
      <c r="E10" s="58" t="s">
        <v>97</v>
      </c>
      <c r="F10" s="69">
        <v>5003</v>
      </c>
      <c r="G10" s="22">
        <v>355792</v>
      </c>
      <c r="H10" s="21">
        <v>37482</v>
      </c>
      <c r="I10" s="1" t="s">
        <v>98</v>
      </c>
      <c r="J10" s="1" t="s">
        <v>99</v>
      </c>
      <c r="K10" s="1" t="s">
        <v>100</v>
      </c>
      <c r="L10" s="23" t="s">
        <v>43</v>
      </c>
    </row>
    <row r="11" spans="1:13" x14ac:dyDescent="0.3">
      <c r="A11" s="56">
        <f>ROW(Покупатели[[#This Row],[ФИО Покупателя]])-1</f>
        <v>10</v>
      </c>
      <c r="B11" s="1" t="s">
        <v>101</v>
      </c>
      <c r="C11" s="1" t="s">
        <v>63</v>
      </c>
      <c r="D11" s="21">
        <v>31547</v>
      </c>
      <c r="E11" s="58" t="s">
        <v>102</v>
      </c>
      <c r="F11" s="69" t="s">
        <v>103</v>
      </c>
      <c r="G11" s="22">
        <v>774870</v>
      </c>
      <c r="H11" s="21">
        <v>38867</v>
      </c>
      <c r="I11" s="1" t="s">
        <v>104</v>
      </c>
      <c r="J11" s="1" t="s">
        <v>105</v>
      </c>
      <c r="K11" s="1" t="s">
        <v>106</v>
      </c>
      <c r="L11" s="23" t="s">
        <v>43</v>
      </c>
    </row>
  </sheetData>
  <pageMargins left="0.7" right="0.7" top="0.75" bottom="0.75" header="0.3" footer="0.3"/>
  <pageSetup paperSize="9" orientation="landscape" r:id="rId1"/>
  <ignoredErrors>
    <ignoredError sqref="F6 F1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B2F0-5EBD-425B-920B-9F7DA2B75448}">
  <sheetPr codeName="Лист8"/>
  <dimension ref="A1:M2"/>
  <sheetViews>
    <sheetView zoomScale="85" zoomScaleNormal="85" workbookViewId="0">
      <selection activeCell="D7" sqref="D7"/>
    </sheetView>
  </sheetViews>
  <sheetFormatPr defaultColWidth="8.88671875" defaultRowHeight="14.4" x14ac:dyDescent="0.3"/>
  <cols>
    <col min="1" max="1" width="8.44140625" style="30" customWidth="1"/>
    <col min="2" max="2" width="30.44140625" style="1" bestFit="1" customWidth="1"/>
    <col min="3" max="3" width="10.109375" style="1" customWidth="1"/>
    <col min="4" max="4" width="16.5546875" style="24" bestFit="1" customWidth="1"/>
    <col min="5" max="5" width="21" style="58" customWidth="1"/>
    <col min="6" max="6" width="12.88671875" style="1" bestFit="1" customWidth="1"/>
    <col min="7" max="7" width="13" style="1" customWidth="1"/>
    <col min="8" max="8" width="12.88671875" style="24" customWidth="1"/>
    <col min="9" max="9" width="23" style="1" customWidth="1"/>
    <col min="10" max="10" width="10.109375" style="1" customWidth="1"/>
    <col min="11" max="11" width="29.6640625" style="1" customWidth="1"/>
    <col min="12" max="12" width="16.33203125" style="1" customWidth="1"/>
    <col min="13" max="13" width="17.21875" style="1" customWidth="1"/>
    <col min="14" max="16384" width="8.88671875" style="1"/>
  </cols>
  <sheetData>
    <row r="1" spans="1:13" ht="63" customHeight="1" x14ac:dyDescent="0.3">
      <c r="A1" s="19" t="s">
        <v>36</v>
      </c>
      <c r="B1" s="19" t="s">
        <v>14</v>
      </c>
      <c r="C1" s="19" t="s">
        <v>47</v>
      </c>
      <c r="D1" s="20" t="s">
        <v>15</v>
      </c>
      <c r="E1" s="20" t="s">
        <v>46</v>
      </c>
      <c r="F1" s="19" t="s">
        <v>16</v>
      </c>
      <c r="G1" s="19" t="s">
        <v>17</v>
      </c>
      <c r="H1" s="20" t="s">
        <v>18</v>
      </c>
      <c r="I1" s="19" t="s">
        <v>21</v>
      </c>
      <c r="J1" s="19" t="s">
        <v>19</v>
      </c>
      <c r="K1" s="19" t="s">
        <v>20</v>
      </c>
      <c r="L1" s="19" t="s">
        <v>34</v>
      </c>
      <c r="M1" s="19" t="s">
        <v>35</v>
      </c>
    </row>
    <row r="2" spans="1:13" x14ac:dyDescent="0.3">
      <c r="A2" s="30">
        <f>ROW(Покупатели8[[#This Row],[ФИО Покупателя]])-1</f>
        <v>1</v>
      </c>
      <c r="D2" s="21"/>
      <c r="F2" s="22"/>
      <c r="G2" s="22"/>
      <c r="H2" s="21"/>
      <c r="J2" s="22"/>
      <c r="L2" s="23"/>
      <c r="M2" s="42"/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3F84A-597B-42CC-9B89-14F5E6BADBF3}">
  <sheetPr codeName="Лист7"/>
  <dimension ref="A1:AF20"/>
  <sheetViews>
    <sheetView zoomScale="85" zoomScaleNormal="85" workbookViewId="0">
      <selection activeCell="I22" sqref="I22"/>
    </sheetView>
  </sheetViews>
  <sheetFormatPr defaultColWidth="8.88671875" defaultRowHeight="14.4" x14ac:dyDescent="0.3"/>
  <cols>
    <col min="1" max="1" width="12.5546875" style="52" bestFit="1" customWidth="1"/>
    <col min="2" max="2" width="9.109375" style="52" bestFit="1" customWidth="1"/>
    <col min="3" max="3" width="11.6640625" style="52" bestFit="1" customWidth="1"/>
    <col min="4" max="4" width="13.21875" style="52" customWidth="1"/>
    <col min="5" max="5" width="8" style="52" customWidth="1"/>
    <col min="6" max="6" width="11.77734375" style="52" bestFit="1" customWidth="1"/>
    <col min="7" max="7" width="10.44140625" style="52" customWidth="1"/>
    <col min="8" max="8" width="10.6640625" style="52" bestFit="1" customWidth="1"/>
    <col min="9" max="10" width="10.6640625" style="52" customWidth="1"/>
    <col min="11" max="12" width="9.109375" style="52" customWidth="1"/>
    <col min="13" max="13" width="11.6640625" style="52" bestFit="1" customWidth="1"/>
    <col min="14" max="14" width="26.6640625" style="99" customWidth="1"/>
    <col min="15" max="15" width="10" style="54" customWidth="1"/>
    <col min="16" max="16" width="13.6640625" style="65" customWidth="1"/>
    <col min="17" max="17" width="15.109375" style="65" customWidth="1"/>
    <col min="18" max="18" width="12.21875" style="54" customWidth="1"/>
    <col min="19" max="19" width="12.109375" style="65" customWidth="1"/>
    <col min="20" max="20" width="14.33203125" style="54" customWidth="1"/>
    <col min="21" max="21" width="12.88671875" style="54" customWidth="1"/>
    <col min="22" max="22" width="10.6640625" style="54" customWidth="1"/>
    <col min="23" max="23" width="10.88671875" style="54" customWidth="1"/>
    <col min="24" max="24" width="12.6640625" style="55" customWidth="1"/>
    <col min="25" max="25" width="13.44140625" style="50" bestFit="1" customWidth="1"/>
    <col min="26" max="26" width="13.33203125" style="53" customWidth="1"/>
    <col min="27" max="27" width="13" style="53" customWidth="1"/>
    <col min="28" max="28" width="13.33203125" style="50" customWidth="1"/>
    <col min="29" max="29" width="13.21875" style="50" customWidth="1"/>
    <col min="30" max="30" width="17.21875" style="50" customWidth="1"/>
    <col min="31" max="31" width="26.5546875" style="50" bestFit="1" customWidth="1"/>
    <col min="32" max="32" width="13.88671875" style="50" customWidth="1"/>
    <col min="33" max="16384" width="8.88671875" style="50"/>
  </cols>
  <sheetData>
    <row r="1" spans="1:32" s="47" customFormat="1" ht="64.2" customHeight="1" x14ac:dyDescent="0.3">
      <c r="A1" s="43" t="s">
        <v>0</v>
      </c>
      <c r="B1" s="43" t="s">
        <v>36</v>
      </c>
      <c r="C1" s="67" t="s">
        <v>39</v>
      </c>
      <c r="D1" s="45" t="s">
        <v>23</v>
      </c>
      <c r="E1" s="45" t="s">
        <v>60</v>
      </c>
      <c r="F1" s="46" t="s">
        <v>25</v>
      </c>
      <c r="G1" s="44" t="s">
        <v>31</v>
      </c>
      <c r="H1" s="44" t="s">
        <v>32</v>
      </c>
      <c r="I1" s="103" t="s">
        <v>34</v>
      </c>
      <c r="J1" s="104" t="s">
        <v>35</v>
      </c>
      <c r="K1" s="43" t="s">
        <v>37</v>
      </c>
      <c r="L1" s="44" t="s">
        <v>1</v>
      </c>
      <c r="M1" s="43" t="s">
        <v>22</v>
      </c>
      <c r="N1" s="96" t="s">
        <v>42</v>
      </c>
      <c r="O1" s="43" t="s">
        <v>47</v>
      </c>
      <c r="P1" s="66" t="s">
        <v>15</v>
      </c>
      <c r="Q1" s="66" t="s">
        <v>46</v>
      </c>
      <c r="R1" s="19" t="s">
        <v>16</v>
      </c>
      <c r="S1" s="63" t="s">
        <v>17</v>
      </c>
      <c r="T1" s="20" t="s">
        <v>18</v>
      </c>
      <c r="U1" s="19" t="s">
        <v>21</v>
      </c>
      <c r="V1" s="19" t="s">
        <v>19</v>
      </c>
      <c r="W1" s="19" t="s">
        <v>20</v>
      </c>
      <c r="X1" s="45" t="s">
        <v>107</v>
      </c>
      <c r="Y1" s="46" t="s">
        <v>27</v>
      </c>
      <c r="Z1" s="44" t="s">
        <v>29</v>
      </c>
      <c r="AA1" s="44" t="s">
        <v>30</v>
      </c>
      <c r="AB1" s="44" t="s">
        <v>24</v>
      </c>
      <c r="AC1" s="44" t="s">
        <v>26</v>
      </c>
      <c r="AD1" s="44" t="s">
        <v>28</v>
      </c>
      <c r="AE1" s="44" t="s">
        <v>80</v>
      </c>
      <c r="AF1" s="44" t="s">
        <v>33</v>
      </c>
    </row>
    <row r="2" spans="1:32" s="47" customFormat="1" x14ac:dyDescent="0.3">
      <c r="A2" s="74">
        <v>43</v>
      </c>
      <c r="B2" s="74">
        <v>1</v>
      </c>
      <c r="C2" s="75">
        <v>43711</v>
      </c>
      <c r="D2" s="86">
        <v>996800</v>
      </c>
      <c r="E2" s="88" t="s">
        <v>61</v>
      </c>
      <c r="F2" s="86">
        <f>Договоры7[[#This Row],[Стоимость по договору]]</f>
        <v>996800</v>
      </c>
      <c r="G2" s="86">
        <v>0</v>
      </c>
      <c r="H2" s="90">
        <v>0</v>
      </c>
      <c r="I2" s="101" t="str">
        <f>VLOOKUP(Договоры7[[#This Row],[УНП]],Покупатели[#All],12)</f>
        <v xml:space="preserve"> </v>
      </c>
      <c r="J2" s="102">
        <f>VLOOKUP(Договоры7[[#This Row],[УНП]],Покупатели[#All],13)</f>
        <v>0</v>
      </c>
      <c r="K2" s="73">
        <f>VLOOKUP(A2,Участки[],3)</f>
        <v>4259</v>
      </c>
      <c r="L2" s="84">
        <f>VLOOKUP(A2,Участки[],4)</f>
        <v>623</v>
      </c>
      <c r="M2" s="82" t="str">
        <f>_xlfn.CONCAT(Договоры7[[#This Row],[КН]],"/",TEXT(Договоры7[[#This Row],[УНП]],"000"))</f>
        <v>4259/001</v>
      </c>
      <c r="N2" s="97" t="str">
        <f>VLOOKUP(Договоры7[[#This Row],[УНП]],Покупатели[[УНП]:[ФИО Покупателя]],2)</f>
        <v>Иброхимов Сухроб Юлдош угли</v>
      </c>
      <c r="O2" s="76" t="str">
        <f>VLOOKUP(Договоры7[[#This Row],[УНП]],Покупатели[#All],3)</f>
        <v>Республики Узбекистан</v>
      </c>
      <c r="P2" s="77">
        <f>VLOOKUP(Договоры7[[#This Row],[УНП]],Покупатели[#All],4)</f>
        <v>36396</v>
      </c>
      <c r="Q2" s="78" t="str">
        <f>VLOOKUP(Договоры7[[#This Row],[УНП]],Покупатели[#All],5)</f>
        <v>Республика Узбекистан, Бухарская область, Шафирканский район</v>
      </c>
      <c r="R2" s="79" t="str">
        <f>VLOOKUP(Договоры7[[#This Row],[УНП]],Покупатели[#All],6)</f>
        <v>AB</v>
      </c>
      <c r="S2" s="80">
        <f>VLOOKUP(Договоры7[[#This Row],[УНП]],Покупатели[#All],7)</f>
        <v>4569055</v>
      </c>
      <c r="T2" s="77">
        <f>VLOOKUP(Договоры7[[#This Row],[УНП]],Покупатели[#All],8)</f>
        <v>42578</v>
      </c>
      <c r="U2" s="81" t="str">
        <f>VLOOKUP(Договоры7[[#This Row],[УНП]],Покупатели[#All],9)</f>
        <v>ОВД Шафирканского района Бухарской области</v>
      </c>
      <c r="V2" s="79" t="str">
        <f>VLOOKUP(Договоры7[[#This Row],[УНП]],Покупатели[#All],10)</f>
        <v xml:space="preserve"> </v>
      </c>
      <c r="W2" s="81" t="str">
        <f>VLOOKUP(Договоры7[[#This Row],[УНП]],Покупатели[#All],11)</f>
        <v>Краснодарский край, г. Краснодар, С/Т «КТТУ», ул. Кутузова, д.37</v>
      </c>
      <c r="X2" s="87">
        <f>Договоры7[[#This Row],[Стоимость по договору]]/Договоры7[[#This Row],[Площадь]]</f>
        <v>1600</v>
      </c>
      <c r="Y2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2" s="92">
        <f>EOMONTH(Договоры7[[#This Row],[Дата договора]],1)+1</f>
        <v>43770</v>
      </c>
      <c r="AA2" s="92">
        <f t="shared" ref="AA2:AA16" si="0">EDATE(Z2,G2-1)</f>
        <v>43739</v>
      </c>
      <c r="AB2" s="93" t="str">
        <f>суммапрописью(Договоры7[[#This Row],[Стоимость по договору]])</f>
        <v xml:space="preserve">девятьсот девяносто шесть тысяч восемьсот </v>
      </c>
      <c r="AC2" s="93" t="str">
        <f t="shared" ref="AC2:AC16" si="1">суммапрописью(F2)</f>
        <v xml:space="preserve">девятьсот девяносто шесть тысяч восемьсот </v>
      </c>
      <c r="AD2" s="93" t="e">
        <f t="shared" ref="AD2:AD9" si="2">суммапрописью(Y2)</f>
        <v>#VALUE!</v>
      </c>
      <c r="AE2" s="93" t="str">
        <f>IF(Договоры7[[#This Row],[Гражданство]]="РФ",CONCATENATE("код подразделения: ",Договоры7[[#This Row],[КП]],","),"")</f>
        <v/>
      </c>
      <c r="AF2" s="95" t="e">
        <f t="shared" ref="AF2:AF9" si="3">INT((Y2-ROUNDDOWN(Y2,0))*100)</f>
        <v>#VALUE!</v>
      </c>
    </row>
    <row r="3" spans="1:32" s="47" customFormat="1" x14ac:dyDescent="0.3">
      <c r="A3" s="74">
        <v>44</v>
      </c>
      <c r="B3" s="74">
        <v>2</v>
      </c>
      <c r="C3" s="75">
        <v>43711</v>
      </c>
      <c r="D3" s="86">
        <v>996800</v>
      </c>
      <c r="E3" s="88" t="s">
        <v>61</v>
      </c>
      <c r="F3" s="86">
        <f>Договоры7[[#This Row],[Стоимость по договору]]</f>
        <v>996800</v>
      </c>
      <c r="G3" s="86">
        <v>0</v>
      </c>
      <c r="H3" s="90">
        <v>0</v>
      </c>
      <c r="I3" s="101" t="str">
        <f>VLOOKUP(Договоры7[[#This Row],[УНП]],Покупатели[#All],12)</f>
        <v xml:space="preserve"> </v>
      </c>
      <c r="J3" s="102">
        <f>VLOOKUP(Договоры7[[#This Row],[УНП]],Покупатели[#All],13)</f>
        <v>0</v>
      </c>
      <c r="K3" s="73">
        <f>VLOOKUP(A3,Участки[],3)</f>
        <v>4247</v>
      </c>
      <c r="L3" s="84">
        <f>VLOOKUP(A3,Участки[],4)</f>
        <v>623</v>
      </c>
      <c r="M3" s="83" t="str">
        <f>_xlfn.CONCAT(Договоры7[[#This Row],[КН]],"/",TEXT(Договоры7[[#This Row],[УНП]],"000"))</f>
        <v>4247/002</v>
      </c>
      <c r="N3" s="97" t="str">
        <f>VLOOKUP(Договоры7[[#This Row],[УНП]],Покупатели[[УНП]:[ФИО Покупателя]],2)</f>
        <v>Орзиев Омон Шарипович</v>
      </c>
      <c r="O3" s="76" t="str">
        <f>VLOOKUP(Договоры7[[#This Row],[УНП]],Покупатели[#All],3)</f>
        <v>Республики Узбекистан</v>
      </c>
      <c r="P3" s="77">
        <f>VLOOKUP(Договоры7[[#This Row],[УНП]],Покупатели[#All],4)</f>
        <v>28760</v>
      </c>
      <c r="Q3" s="78" t="str">
        <f>VLOOKUP(Договоры7[[#This Row],[УНП]],Покупатели[#All],5)</f>
        <v>Республика Узбекистан, Бухарская область, Шафирканский район</v>
      </c>
      <c r="R3" s="79" t="str">
        <f>VLOOKUP(Договоры7[[#This Row],[УНП]],Покупатели[#All],6)</f>
        <v>AB</v>
      </c>
      <c r="S3" s="80">
        <f>VLOOKUP(Договоры7[[#This Row],[УНП]],Покупатели[#All],7)</f>
        <v>4415424</v>
      </c>
      <c r="T3" s="77">
        <f>VLOOKUP(Договоры7[[#This Row],[УНП]],Покупатели[#All],8)</f>
        <v>41690</v>
      </c>
      <c r="U3" s="81" t="str">
        <f>VLOOKUP(Договоры7[[#This Row],[УНП]],Покупатели[#All],9)</f>
        <v>ОВД Шафирканского района Бухарской области</v>
      </c>
      <c r="V3" s="79" t="str">
        <f>VLOOKUP(Договоры7[[#This Row],[УНП]],Покупатели[#All],10)</f>
        <v xml:space="preserve"> </v>
      </c>
      <c r="W3" s="81" t="str">
        <f>VLOOKUP(Договоры7[[#This Row],[УНП]],Покупатели[#All],11)</f>
        <v>Краснодарский край, г. Краснодар, С/Т «Орбита», ул. Осеняя, д.335</v>
      </c>
      <c r="X3" s="87">
        <f>Договоры7[[#This Row],[Стоимость по договору]]/Договоры7[[#This Row],[Площадь]]</f>
        <v>1600</v>
      </c>
      <c r="Y3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3" s="92">
        <f>EOMONTH(Договоры7[[#This Row],[Дата договора]],1)+1</f>
        <v>43770</v>
      </c>
      <c r="AA3" s="92">
        <f t="shared" si="0"/>
        <v>43739</v>
      </c>
      <c r="AB3" s="94" t="str">
        <f>суммапрописью(Договоры7[[#This Row],[Стоимость по договору]])</f>
        <v xml:space="preserve">девятьсот девяносто шесть тысяч восемьсот </v>
      </c>
      <c r="AC3" s="93" t="str">
        <f t="shared" si="1"/>
        <v xml:space="preserve">девятьсот девяносто шесть тысяч восемьсот </v>
      </c>
      <c r="AD3" s="93" t="e">
        <f t="shared" si="2"/>
        <v>#VALUE!</v>
      </c>
      <c r="AE3" s="93" t="str">
        <f>IF(Договоры7[[#This Row],[Гражданство]]="РФ",CONCATENATE("код подразделения: ",Договоры7[[#This Row],[КП]],","),"")</f>
        <v/>
      </c>
      <c r="AF3" s="95" t="e">
        <f t="shared" si="3"/>
        <v>#VALUE!</v>
      </c>
    </row>
    <row r="4" spans="1:32" s="47" customFormat="1" x14ac:dyDescent="0.3">
      <c r="A4" s="74">
        <v>49</v>
      </c>
      <c r="B4" s="74">
        <v>3</v>
      </c>
      <c r="C4" s="75">
        <v>43717</v>
      </c>
      <c r="D4" s="86">
        <v>606400</v>
      </c>
      <c r="E4" s="88" t="s">
        <v>61</v>
      </c>
      <c r="F4" s="86">
        <f>Договоры7[[#This Row],[Стоимость по договору]]</f>
        <v>606400</v>
      </c>
      <c r="G4" s="86">
        <v>0</v>
      </c>
      <c r="H4" s="90">
        <v>0</v>
      </c>
      <c r="I4" s="101" t="str">
        <f>VLOOKUP(Договоры7[[#This Row],[УНП]],Покупатели[#All],12)</f>
        <v xml:space="preserve"> </v>
      </c>
      <c r="J4" s="102">
        <f>VLOOKUP(Договоры7[[#This Row],[УНП]],Покупатели[#All],13)</f>
        <v>0</v>
      </c>
      <c r="K4" s="73">
        <f>VLOOKUP(A4,Участки[],3)</f>
        <v>4250</v>
      </c>
      <c r="L4" s="84">
        <f>VLOOKUP(A4,Участки[],4)</f>
        <v>379</v>
      </c>
      <c r="M4" s="83" t="str">
        <f>_xlfn.CONCAT(Договоры7[[#This Row],[КН]],"/",TEXT(Договоры7[[#This Row],[УНП]],"000"))</f>
        <v>4250/003</v>
      </c>
      <c r="N4" s="97" t="str">
        <f>VLOOKUP(Договоры7[[#This Row],[УНП]],Покупатели[[УНП]:[ФИО Покупателя]],2)</f>
        <v>Каширин Александр Валерьевич</v>
      </c>
      <c r="O4" s="76" t="str">
        <f>VLOOKUP(Договоры7[[#This Row],[УНП]],Покупатели[#All],3)</f>
        <v>РФ</v>
      </c>
      <c r="P4" s="77">
        <f>VLOOKUP(Договоры7[[#This Row],[УНП]],Покупатели[#All],4)</f>
        <v>25038</v>
      </c>
      <c r="Q4" s="78" t="str">
        <f>VLOOKUP(Договоры7[[#This Row],[УНП]],Покупатели[#All],5)</f>
        <v>гор.Омск</v>
      </c>
      <c r="R4" s="79">
        <f>VLOOKUP(Договоры7[[#This Row],[УНП]],Покупатели[#All],6)</f>
        <v>5213</v>
      </c>
      <c r="S4" s="80">
        <f>VLOOKUP(Договоры7[[#This Row],[УНП]],Покупатели[#All],7)</f>
        <v>261919</v>
      </c>
      <c r="T4" s="77">
        <f>VLOOKUP(Договоры7[[#This Row],[УНП]],Покупатели[#All],8)</f>
        <v>41534</v>
      </c>
      <c r="U4" s="81" t="str">
        <f>VLOOKUP(Договоры7[[#This Row],[УНП]],Покупатели[#All],9)</f>
        <v>Отделом №2 УФМС России по Омской области в Центральном администротивном округе города Омска</v>
      </c>
      <c r="V4" s="79" t="str">
        <f>VLOOKUP(Договоры7[[#This Row],[УНП]],Покупатели[#All],10)</f>
        <v>550-007</v>
      </c>
      <c r="W4" s="81" t="str">
        <f>VLOOKUP(Договоры7[[#This Row],[УНП]],Покупатели[#All],11)</f>
        <v>Омская область, г.Омск, ул.Красный Путь, д.28А, кв.63</v>
      </c>
      <c r="X4" s="87">
        <f>Договоры7[[#This Row],[Стоимость по договору]]/Договоры7[[#This Row],[Площадь]]</f>
        <v>1600</v>
      </c>
      <c r="Y4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4" s="92">
        <f>EOMONTH(Договоры7[[#This Row],[Дата договора]],1)+1</f>
        <v>43770</v>
      </c>
      <c r="AA4" s="92">
        <f t="shared" si="0"/>
        <v>43739</v>
      </c>
      <c r="AB4" s="94" t="str">
        <f>суммапрописью(Договоры7[[#This Row],[Стоимость по договору]])</f>
        <v xml:space="preserve">шестьсот шесть тысяч четыреста </v>
      </c>
      <c r="AC4" s="93" t="str">
        <f t="shared" si="1"/>
        <v xml:space="preserve">шестьсот шесть тысяч четыреста </v>
      </c>
      <c r="AD4" s="93" t="e">
        <f t="shared" si="2"/>
        <v>#VALUE!</v>
      </c>
      <c r="AE4" s="93" t="str">
        <f>IF(Договоры7[[#This Row],[Гражданство]]="РФ",CONCATENATE("код подразделения: ",Договоры7[[#This Row],[КП]],","),"")</f>
        <v>код подразделения: 550-007,</v>
      </c>
      <c r="AF4" s="95" t="e">
        <f t="shared" si="3"/>
        <v>#VALUE!</v>
      </c>
    </row>
    <row r="5" spans="1:32" s="47" customFormat="1" x14ac:dyDescent="0.3">
      <c r="A5" s="74">
        <v>50</v>
      </c>
      <c r="B5" s="74">
        <v>4</v>
      </c>
      <c r="C5" s="75">
        <v>43711</v>
      </c>
      <c r="D5" s="86">
        <v>646000</v>
      </c>
      <c r="E5" s="88" t="s">
        <v>61</v>
      </c>
      <c r="F5" s="86">
        <f>Договоры7[[#This Row],[Стоимость по договору]]</f>
        <v>646000</v>
      </c>
      <c r="G5" s="86">
        <v>0</v>
      </c>
      <c r="H5" s="90">
        <v>0</v>
      </c>
      <c r="I5" s="101" t="str">
        <f>VLOOKUP(Договоры7[[#This Row],[УНП]],Покупатели[#All],12)</f>
        <v xml:space="preserve"> </v>
      </c>
      <c r="J5" s="102">
        <f>VLOOKUP(Договоры7[[#This Row],[УНП]],Покупатели[#All],13)</f>
        <v>0</v>
      </c>
      <c r="K5" s="73">
        <f>VLOOKUP(A5,Участки[],3)</f>
        <v>4251</v>
      </c>
      <c r="L5" s="84">
        <f>VLOOKUP(A5,Участки[],4)</f>
        <v>380</v>
      </c>
      <c r="M5" s="83" t="str">
        <f>_xlfn.CONCAT(Договоры7[[#This Row],[КН]],"/",TEXT(Договоры7[[#This Row],[УНП]],"000"))</f>
        <v>4251/004</v>
      </c>
      <c r="N5" s="97" t="str">
        <f>VLOOKUP(Договоры7[[#This Row],[УНП]],Покупатели[[УНП]:[ФИО Покупателя]],2)</f>
        <v>Экимян Лусине Агасиевна</v>
      </c>
      <c r="O5" s="76" t="str">
        <f>VLOOKUP(Договоры7[[#This Row],[УНП]],Покупатели[#All],3)</f>
        <v>РФ</v>
      </c>
      <c r="P5" s="77">
        <f>VLOOKUP(Договоры7[[#This Row],[УНП]],Покупатели[#All],4)</f>
        <v>32909</v>
      </c>
      <c r="Q5" s="78" t="str">
        <f>VLOOKUP(Договоры7[[#This Row],[УНП]],Покупатели[#All],5)</f>
        <v>гор.Ереван Армянской ССР</v>
      </c>
      <c r="R5" s="79">
        <f>VLOOKUP(Договоры7[[#This Row],[УНП]],Покупатели[#All],6)</f>
        <v>6013</v>
      </c>
      <c r="S5" s="80">
        <f>VLOOKUP(Договоры7[[#This Row],[УНП]],Покупатели[#All],7)</f>
        <v>506275</v>
      </c>
      <c r="T5" s="77">
        <f>VLOOKUP(Договоры7[[#This Row],[УНП]],Покупатели[#All],8)</f>
        <v>41662</v>
      </c>
      <c r="U5" s="81" t="str">
        <f>VLOOKUP(Договоры7[[#This Row],[УНП]],Покупатели[#All],9)</f>
        <v>Отделом УФМС России по Ростовской области в г.Новошахтинске</v>
      </c>
      <c r="V5" s="79" t="str">
        <f>VLOOKUP(Договоры7[[#This Row],[УНП]],Покупатели[#All],10)</f>
        <v>610-048</v>
      </c>
      <c r="W5" s="81" t="str">
        <f>VLOOKUP(Договоры7[[#This Row],[УНП]],Покупатели[#All],11)</f>
        <v>Краснодарский край, г. Краснодар, пр.3-й Мартыновский, д.16</v>
      </c>
      <c r="X5" s="87">
        <f>Договоры7[[#This Row],[Стоимость по договору]]/Договоры7[[#This Row],[Площадь]]</f>
        <v>1700</v>
      </c>
      <c r="Y5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5" s="92">
        <f>EOMONTH(Договоры7[[#This Row],[Дата договора]],1)+1</f>
        <v>43770</v>
      </c>
      <c r="AA5" s="92">
        <f t="shared" si="0"/>
        <v>43739</v>
      </c>
      <c r="AB5" s="94" t="str">
        <f>суммапрописью(Договоры7[[#This Row],[Стоимость по договору]])</f>
        <v xml:space="preserve">шестьсот сорок шесть тысяч </v>
      </c>
      <c r="AC5" s="93" t="str">
        <f t="shared" si="1"/>
        <v xml:space="preserve">шестьсот сорок шесть тысяч </v>
      </c>
      <c r="AD5" s="93" t="e">
        <f t="shared" si="2"/>
        <v>#VALUE!</v>
      </c>
      <c r="AE5" s="93" t="str">
        <f>IF(Договоры7[[#This Row],[Гражданство]]="РФ",CONCATENATE("код подразделения: ",Договоры7[[#This Row],[КП]],","),"")</f>
        <v>код подразделения: 610-048,</v>
      </c>
      <c r="AF5" s="95" t="e">
        <f t="shared" si="3"/>
        <v>#VALUE!</v>
      </c>
    </row>
    <row r="6" spans="1:32" s="47" customFormat="1" x14ac:dyDescent="0.3">
      <c r="A6" s="74">
        <v>51</v>
      </c>
      <c r="B6" s="74">
        <v>3</v>
      </c>
      <c r="C6" s="75">
        <v>43717</v>
      </c>
      <c r="D6" s="86">
        <v>934500</v>
      </c>
      <c r="E6" s="88" t="s">
        <v>61</v>
      </c>
      <c r="F6" s="86">
        <f>Договоры7[[#This Row],[Стоимость по договору]]</f>
        <v>934500</v>
      </c>
      <c r="G6" s="86">
        <v>0</v>
      </c>
      <c r="H6" s="90">
        <v>0</v>
      </c>
      <c r="I6" s="101" t="str">
        <f>VLOOKUP(Договоры7[[#This Row],[УНП]],Покупатели[#All],12)</f>
        <v xml:space="preserve"> </v>
      </c>
      <c r="J6" s="102">
        <f>VLOOKUP(Договоры7[[#This Row],[УНП]],Покупатели[#All],13)</f>
        <v>0</v>
      </c>
      <c r="K6" s="73">
        <f>VLOOKUP(A6,Участки[],3)</f>
        <v>4252</v>
      </c>
      <c r="L6" s="84">
        <f>VLOOKUP(A6,Участки[],4)</f>
        <v>623</v>
      </c>
      <c r="M6" s="83" t="str">
        <f>_xlfn.CONCAT(Договоры7[[#This Row],[КН]],"/",TEXT(Договоры7[[#This Row],[УНП]],"000"))</f>
        <v>4252/003</v>
      </c>
      <c r="N6" s="97" t="str">
        <f>VLOOKUP(Договоры7[[#This Row],[УНП]],Покупатели[[УНП]:[ФИО Покупателя]],2)</f>
        <v>Каширин Александр Валерьевич</v>
      </c>
      <c r="O6" s="76" t="str">
        <f>VLOOKUP(Договоры7[[#This Row],[УНП]],Покупатели[#All],3)</f>
        <v>РФ</v>
      </c>
      <c r="P6" s="77">
        <f>VLOOKUP(Договоры7[[#This Row],[УНП]],Покупатели[#All],4)</f>
        <v>25038</v>
      </c>
      <c r="Q6" s="78" t="str">
        <f>VLOOKUP(Договоры7[[#This Row],[УНП]],Покупатели[#All],5)</f>
        <v>гор.Омск</v>
      </c>
      <c r="R6" s="79">
        <f>VLOOKUP(Договоры7[[#This Row],[УНП]],Покупатели[#All],6)</f>
        <v>5213</v>
      </c>
      <c r="S6" s="80">
        <f>VLOOKUP(Договоры7[[#This Row],[УНП]],Покупатели[#All],7)</f>
        <v>261919</v>
      </c>
      <c r="T6" s="77">
        <f>VLOOKUP(Договоры7[[#This Row],[УНП]],Покупатели[#All],8)</f>
        <v>41534</v>
      </c>
      <c r="U6" s="81" t="str">
        <f>VLOOKUP(Договоры7[[#This Row],[УНП]],Покупатели[#All],9)</f>
        <v>Отделом №2 УФМС России по Омской области в Центральном администротивном округе города Омска</v>
      </c>
      <c r="V6" s="79" t="str">
        <f>VLOOKUP(Договоры7[[#This Row],[УНП]],Покупатели[#All],10)</f>
        <v>550-007</v>
      </c>
      <c r="W6" s="81" t="str">
        <f>VLOOKUP(Договоры7[[#This Row],[УНП]],Покупатели[#All],11)</f>
        <v>Омская область, г.Омск, ул.Красный Путь, д.28А, кв.63</v>
      </c>
      <c r="X6" s="87">
        <f>Договоры7[[#This Row],[Стоимость по договору]]/Договоры7[[#This Row],[Площадь]]</f>
        <v>1500</v>
      </c>
      <c r="Y6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6" s="92">
        <f>EOMONTH(Договоры7[[#This Row],[Дата договора]],1)+1</f>
        <v>43770</v>
      </c>
      <c r="AA6" s="92">
        <f t="shared" si="0"/>
        <v>43739</v>
      </c>
      <c r="AB6" s="94" t="str">
        <f>суммапрописью(Договоры7[[#This Row],[Стоимость по договору]])</f>
        <v xml:space="preserve">девятьсот тридцать четыре тысячи пятьсот </v>
      </c>
      <c r="AC6" s="93" t="str">
        <f t="shared" si="1"/>
        <v xml:space="preserve">девятьсот тридцать четыре тысячи пятьсот </v>
      </c>
      <c r="AD6" s="93" t="e">
        <f t="shared" si="2"/>
        <v>#VALUE!</v>
      </c>
      <c r="AE6" s="93" t="str">
        <f>IF(Договоры7[[#This Row],[Гражданство]]="РФ",CONCATENATE("код подразделения: ",Договоры7[[#This Row],[КП]],","),"")</f>
        <v>код подразделения: 550-007,</v>
      </c>
      <c r="AF6" s="95" t="e">
        <f t="shared" si="3"/>
        <v>#VALUE!</v>
      </c>
    </row>
    <row r="7" spans="1:32" s="47" customFormat="1" x14ac:dyDescent="0.3">
      <c r="A7" s="74">
        <v>52</v>
      </c>
      <c r="B7" s="74">
        <v>3</v>
      </c>
      <c r="C7" s="75">
        <v>43717</v>
      </c>
      <c r="D7" s="86">
        <v>934500</v>
      </c>
      <c r="E7" s="88" t="s">
        <v>61</v>
      </c>
      <c r="F7" s="86">
        <f>Договоры7[[#This Row],[Стоимость по договору]]</f>
        <v>934500</v>
      </c>
      <c r="G7" s="86">
        <v>0</v>
      </c>
      <c r="H7" s="90">
        <v>0</v>
      </c>
      <c r="I7" s="101" t="str">
        <f>VLOOKUP(Договоры7[[#This Row],[УНП]],Покупатели[#All],12)</f>
        <v xml:space="preserve"> </v>
      </c>
      <c r="J7" s="102">
        <f>VLOOKUP(Договоры7[[#This Row],[УНП]],Покупатели[#All],13)</f>
        <v>0</v>
      </c>
      <c r="K7" s="73">
        <f>VLOOKUP(A7,Участки[],3)</f>
        <v>4253</v>
      </c>
      <c r="L7" s="84">
        <f>VLOOKUP(A7,Участки[],4)</f>
        <v>623</v>
      </c>
      <c r="M7" s="83" t="str">
        <f>_xlfn.CONCAT(Договоры7[[#This Row],[КН]],"/",TEXT(Договоры7[[#This Row],[УНП]],"000"))</f>
        <v>4253/003</v>
      </c>
      <c r="N7" s="97" t="str">
        <f>VLOOKUP(Договоры7[[#This Row],[УНП]],Покупатели[[УНП]:[ФИО Покупателя]],2)</f>
        <v>Каширин Александр Валерьевич</v>
      </c>
      <c r="O7" s="76" t="str">
        <f>VLOOKUP(Договоры7[[#This Row],[УНП]],Покупатели[#All],3)</f>
        <v>РФ</v>
      </c>
      <c r="P7" s="77">
        <f>VLOOKUP(Договоры7[[#This Row],[УНП]],Покупатели[#All],4)</f>
        <v>25038</v>
      </c>
      <c r="Q7" s="78" t="str">
        <f>VLOOKUP(Договоры7[[#This Row],[УНП]],Покупатели[#All],5)</f>
        <v>гор.Омск</v>
      </c>
      <c r="R7" s="79">
        <f>VLOOKUP(Договоры7[[#This Row],[УНП]],Покупатели[#All],6)</f>
        <v>5213</v>
      </c>
      <c r="S7" s="80">
        <f>VLOOKUP(Договоры7[[#This Row],[УНП]],Покупатели[#All],7)</f>
        <v>261919</v>
      </c>
      <c r="T7" s="77">
        <f>VLOOKUP(Договоры7[[#This Row],[УНП]],Покупатели[#All],8)</f>
        <v>41534</v>
      </c>
      <c r="U7" s="81" t="str">
        <f>VLOOKUP(Договоры7[[#This Row],[УНП]],Покупатели[#All],9)</f>
        <v>Отделом №2 УФМС России по Омской области в Центральном администротивном округе города Омска</v>
      </c>
      <c r="V7" s="79" t="str">
        <f>VLOOKUP(Договоры7[[#This Row],[УНП]],Покупатели[#All],10)</f>
        <v>550-007</v>
      </c>
      <c r="W7" s="81" t="str">
        <f>VLOOKUP(Договоры7[[#This Row],[УНП]],Покупатели[#All],11)</f>
        <v>Омская область, г.Омск, ул.Красный Путь, д.28А, кв.63</v>
      </c>
      <c r="X7" s="87">
        <f>Договоры7[[#This Row],[Стоимость по договору]]/Договоры7[[#This Row],[Площадь]]</f>
        <v>1500</v>
      </c>
      <c r="Y7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7" s="92">
        <f>EOMONTH(Договоры7[[#This Row],[Дата договора]],1)+1</f>
        <v>43770</v>
      </c>
      <c r="AA7" s="92">
        <f t="shared" si="0"/>
        <v>43739</v>
      </c>
      <c r="AB7" s="94" t="str">
        <f>суммапрописью(Договоры7[[#This Row],[Стоимость по договору]])</f>
        <v xml:space="preserve">девятьсот тридцать четыре тысячи пятьсот </v>
      </c>
      <c r="AC7" s="93" t="str">
        <f t="shared" si="1"/>
        <v xml:space="preserve">девятьсот тридцать четыре тысячи пятьсот </v>
      </c>
      <c r="AD7" s="93" t="e">
        <f t="shared" si="2"/>
        <v>#VALUE!</v>
      </c>
      <c r="AE7" s="93" t="str">
        <f>IF(Договоры7[[#This Row],[Гражданство]]="РФ",CONCATENATE("код подразделения: ",Договоры7[[#This Row],[КП]],","),"")</f>
        <v>код подразделения: 550-007,</v>
      </c>
      <c r="AF7" s="95" t="e">
        <f t="shared" si="3"/>
        <v>#VALUE!</v>
      </c>
    </row>
    <row r="8" spans="1:32" s="47" customFormat="1" x14ac:dyDescent="0.3">
      <c r="A8" s="74">
        <v>53</v>
      </c>
      <c r="B8" s="74">
        <v>5</v>
      </c>
      <c r="C8" s="75">
        <v>43717</v>
      </c>
      <c r="D8" s="86">
        <v>920000</v>
      </c>
      <c r="E8" s="88" t="s">
        <v>61</v>
      </c>
      <c r="F8" s="86">
        <f>Договоры7[[#This Row],[Стоимость по договору]]</f>
        <v>920000</v>
      </c>
      <c r="G8" s="86">
        <v>0</v>
      </c>
      <c r="H8" s="90">
        <v>0</v>
      </c>
      <c r="I8" s="101" t="str">
        <f>VLOOKUP(Договоры7[[#This Row],[УНП]],Покупатели[#All],12)</f>
        <v xml:space="preserve"> </v>
      </c>
      <c r="J8" s="102">
        <f>VLOOKUP(Договоры7[[#This Row],[УНП]],Покупатели[#All],13)</f>
        <v>0</v>
      </c>
      <c r="K8" s="73">
        <f>VLOOKUP(A8,Участки[],3)</f>
        <v>4254</v>
      </c>
      <c r="L8" s="84">
        <f>VLOOKUP(A8,Участки[],4)</f>
        <v>623</v>
      </c>
      <c r="M8" s="83" t="str">
        <f>_xlfn.CONCAT(Договоры7[[#This Row],[КН]],"/",TEXT(Договоры7[[#This Row],[УНП]],"000"))</f>
        <v>4254/005</v>
      </c>
      <c r="N8" s="97" t="str">
        <f>VLOOKUP(Договоры7[[#This Row],[УНП]],Покупатели[[УНП]:[ФИО Покупателя]],2)</f>
        <v>Волощенко Наталья Анатольевна</v>
      </c>
      <c r="O8" s="76" t="str">
        <f>VLOOKUP(Договоры7[[#This Row],[УНП]],Покупатели[#All],3)</f>
        <v>РФ</v>
      </c>
      <c r="P8" s="77">
        <f>VLOOKUP(Договоры7[[#This Row],[УНП]],Покупатели[#All],4)</f>
        <v>21753</v>
      </c>
      <c r="Q8" s="78" t="str">
        <f>VLOOKUP(Договоры7[[#This Row],[УНП]],Покупатели[#All],5)</f>
        <v>с.Дурмин район им.Лазо Хабаровского края</v>
      </c>
      <c r="R8" s="79" t="str">
        <f>VLOOKUP(Договоры7[[#This Row],[УНП]],Покупатели[#All],6)</f>
        <v>0305</v>
      </c>
      <c r="S8" s="80">
        <f>VLOOKUP(Договоры7[[#This Row],[УНП]],Покупатели[#All],7)</f>
        <v>578563</v>
      </c>
      <c r="T8" s="77">
        <f>VLOOKUP(Договоры7[[#This Row],[УНП]],Покупатели[#All],8)</f>
        <v>38378</v>
      </c>
      <c r="U8" s="81" t="str">
        <f>VLOOKUP(Договоры7[[#This Row],[УНП]],Покупатели[#All],9)</f>
        <v>Отделом внутренних дел Приморско-Ахтарского р-на Краснодарского края</v>
      </c>
      <c r="V8" s="79" t="str">
        <f>VLOOKUP(Договоры7[[#This Row],[УНП]],Покупатели[#All],10)</f>
        <v>232-048</v>
      </c>
      <c r="W8" s="81" t="str">
        <f>VLOOKUP(Договоры7[[#This Row],[УНП]],Покупатели[#All],11)</f>
        <v>Краснодарский край, г.Приморско-Ахтарск, ул.Шмидта, д.83, кв.1</v>
      </c>
      <c r="X8" s="87">
        <f>Договоры7[[#This Row],[Стоимость по договору]]/Договоры7[[#This Row],[Площадь]]</f>
        <v>1476.7255216693418</v>
      </c>
      <c r="Y8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8" s="92">
        <f>EOMONTH(Договоры7[[#This Row],[Дата договора]],1)+1</f>
        <v>43770</v>
      </c>
      <c r="AA8" s="92">
        <f t="shared" si="0"/>
        <v>43739</v>
      </c>
      <c r="AB8" s="94" t="str">
        <f>суммапрописью(Договоры7[[#This Row],[Стоимость по договору]])</f>
        <v xml:space="preserve">девятьсот двадцать тысяч </v>
      </c>
      <c r="AC8" s="93" t="str">
        <f t="shared" si="1"/>
        <v xml:space="preserve">девятьсот двадцать тысяч </v>
      </c>
      <c r="AD8" s="93" t="e">
        <f t="shared" si="2"/>
        <v>#VALUE!</v>
      </c>
      <c r="AE8" s="93" t="str">
        <f>IF(Договоры7[[#This Row],[Гражданство]]="РФ",CONCATENATE("код подразделения: ",Договоры7[[#This Row],[КП]],","),"")</f>
        <v>код подразделения: 232-048,</v>
      </c>
      <c r="AF8" s="95" t="e">
        <f t="shared" si="3"/>
        <v>#VALUE!</v>
      </c>
    </row>
    <row r="9" spans="1:32" s="47" customFormat="1" x14ac:dyDescent="0.3">
      <c r="A9" s="74">
        <v>138</v>
      </c>
      <c r="B9" s="74">
        <v>4</v>
      </c>
      <c r="C9" s="75">
        <v>43748</v>
      </c>
      <c r="D9" s="86">
        <v>1024200</v>
      </c>
      <c r="E9" s="88" t="s">
        <v>61</v>
      </c>
      <c r="F9" s="86">
        <f>Договоры7[[#This Row],[Стоимость по договору]]</f>
        <v>1024200</v>
      </c>
      <c r="G9" s="86">
        <v>0</v>
      </c>
      <c r="H9" s="90">
        <v>0</v>
      </c>
      <c r="I9" s="101" t="str">
        <f>VLOOKUP(Договоры7[[#This Row],[УНП]],Покупатели[#All],12)</f>
        <v xml:space="preserve"> </v>
      </c>
      <c r="J9" s="102">
        <f>VLOOKUP(Договоры7[[#This Row],[УНП]],Покупатели[#All],13)</f>
        <v>0</v>
      </c>
      <c r="K9" s="73">
        <f>VLOOKUP(A9,Участки[],3)</f>
        <v>4275</v>
      </c>
      <c r="L9" s="84">
        <f>VLOOKUP(A9,Участки[],4)</f>
        <v>569</v>
      </c>
      <c r="M9" s="83" t="str">
        <f>_xlfn.CONCAT(Договоры7[[#This Row],[КН]],"/",TEXT(Договоры7[[#This Row],[УНП]],"000"))</f>
        <v>4275/004</v>
      </c>
      <c r="N9" s="97" t="str">
        <f>VLOOKUP(Договоры7[[#This Row],[УНП]],Покупатели[[УНП]:[ФИО Покупателя]],2)</f>
        <v>Экимян Лусине Агасиевна</v>
      </c>
      <c r="O9" s="76" t="str">
        <f>VLOOKUP(Договоры7[[#This Row],[УНП]],Покупатели[#All],3)</f>
        <v>РФ</v>
      </c>
      <c r="P9" s="77">
        <f>VLOOKUP(Договоры7[[#This Row],[УНП]],Покупатели[#All],4)</f>
        <v>32909</v>
      </c>
      <c r="Q9" s="78" t="str">
        <f>VLOOKUP(Договоры7[[#This Row],[УНП]],Покупатели[#All],5)</f>
        <v>гор.Ереван Армянской ССР</v>
      </c>
      <c r="R9" s="79">
        <f>VLOOKUP(Договоры7[[#This Row],[УНП]],Покупатели[#All],6)</f>
        <v>6013</v>
      </c>
      <c r="S9" s="80">
        <f>VLOOKUP(Договоры7[[#This Row],[УНП]],Покупатели[#All],7)</f>
        <v>506275</v>
      </c>
      <c r="T9" s="77">
        <f>VLOOKUP(Договоры7[[#This Row],[УНП]],Покупатели[#All],8)</f>
        <v>41662</v>
      </c>
      <c r="U9" s="81" t="str">
        <f>VLOOKUP(Договоры7[[#This Row],[УНП]],Покупатели[#All],9)</f>
        <v>Отделом УФМС России по Ростовской области в г.Новошахтинске</v>
      </c>
      <c r="V9" s="79" t="str">
        <f>VLOOKUP(Договоры7[[#This Row],[УНП]],Покупатели[#All],10)</f>
        <v>610-048</v>
      </c>
      <c r="W9" s="81" t="str">
        <f>VLOOKUP(Договоры7[[#This Row],[УНП]],Покупатели[#All],11)</f>
        <v>Краснодарский край, г. Краснодар, пр.3-й Мартыновский, д.16</v>
      </c>
      <c r="X9" s="87">
        <f>Договоры7[[#This Row],[Стоимость по договору]]/Договоры7[[#This Row],[Площадь]]</f>
        <v>1800</v>
      </c>
      <c r="Y9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9" s="92">
        <f>EOMONTH(Договоры7[[#This Row],[Дата договора]],1)+1</f>
        <v>43800</v>
      </c>
      <c r="AA9" s="92">
        <f t="shared" si="0"/>
        <v>43770</v>
      </c>
      <c r="AB9" s="94" t="str">
        <f>суммапрописью(Договоры7[[#This Row],[Стоимость по договору]])</f>
        <v xml:space="preserve">один миллион двадцать четыре тысячи двести </v>
      </c>
      <c r="AC9" s="93" t="str">
        <f t="shared" si="1"/>
        <v xml:space="preserve">один миллион двадцать четыре тысячи двести </v>
      </c>
      <c r="AD9" s="93" t="e">
        <f t="shared" si="2"/>
        <v>#VALUE!</v>
      </c>
      <c r="AE9" s="93" t="str">
        <f>IF(Договоры7[[#This Row],[Гражданство]]="РФ",CONCATENATE("код подразделения: ",Договоры7[[#This Row],[КП]],","),"")</f>
        <v>код подразделения: 610-048,</v>
      </c>
      <c r="AF9" s="95" t="e">
        <f t="shared" si="3"/>
        <v>#VALUE!</v>
      </c>
    </row>
    <row r="10" spans="1:32" x14ac:dyDescent="0.3">
      <c r="A10" s="74">
        <v>54</v>
      </c>
      <c r="B10" s="74">
        <v>6</v>
      </c>
      <c r="C10" s="75">
        <v>43741</v>
      </c>
      <c r="D10" s="86">
        <v>1059100</v>
      </c>
      <c r="E10" s="89" t="s">
        <v>61</v>
      </c>
      <c r="F10" s="86">
        <f>Договоры7[[#This Row],[Стоимость по договору]]</f>
        <v>1059100</v>
      </c>
      <c r="G10" s="86">
        <v>0</v>
      </c>
      <c r="H10" s="90">
        <v>0</v>
      </c>
      <c r="I10" s="101" t="str">
        <f>VLOOKUP(Договоры7[[#This Row],[УНП]],Покупатели[#All],12)</f>
        <v xml:space="preserve"> </v>
      </c>
      <c r="J10" s="102">
        <f>VLOOKUP(Договоры7[[#This Row],[УНП]],Покупатели[#All],13)</f>
        <v>0</v>
      </c>
      <c r="K10" s="73">
        <f>VLOOKUP(A10,Участки[],3)</f>
        <v>4255</v>
      </c>
      <c r="L10" s="85">
        <f>VLOOKUP(A10,Участки[],4)</f>
        <v>623</v>
      </c>
      <c r="M10" s="83" t="str">
        <f>_xlfn.CONCAT(Договоры7[[#This Row],[КН]],"/",TEXT(Договоры7[[#This Row],[УНП]],"000"))</f>
        <v>4255/006</v>
      </c>
      <c r="N10" s="97" t="str">
        <f>VLOOKUP(Договоры7[[#This Row],[УНП]],Покупатели[[УНП]:[ФИО Покупателя]],2)</f>
        <v>Попов Илья Александрович</v>
      </c>
      <c r="O10" s="76" t="str">
        <f>VLOOKUP(Договоры7[[#This Row],[УНП]],Покупатели[#All],3)</f>
        <v>РФ</v>
      </c>
      <c r="P10" s="77">
        <f>VLOOKUP(Договоры7[[#This Row],[УНП]],Покупатели[#All],4)</f>
        <v>30895</v>
      </c>
      <c r="Q10" s="78" t="str">
        <f>VLOOKUP(Договоры7[[#This Row],[УНП]],Покупатели[#All],5)</f>
        <v>гор.Щелково Московской области</v>
      </c>
      <c r="R10" s="79">
        <f>VLOOKUP(Договоры7[[#This Row],[УНП]],Покупатели[#All],6)</f>
        <v>4605</v>
      </c>
      <c r="S10" s="80">
        <f>VLOOKUP(Договоры7[[#This Row],[УНП]],Покупатели[#All],7)</f>
        <v>828463</v>
      </c>
      <c r="T10" s="77">
        <f>VLOOKUP(Договоры7[[#This Row],[УНП]],Покупатели[#All],8)</f>
        <v>38203</v>
      </c>
      <c r="U10" s="81" t="str">
        <f>VLOOKUP(Договоры7[[#This Row],[УНП]],Покупатели[#All],9)</f>
        <v>Отделом милиции гор.Щелково Щелковского УВД Московской области</v>
      </c>
      <c r="V10" s="79" t="str">
        <f>VLOOKUP(Договоры7[[#This Row],[УНП]],Покупатели[#All],10)</f>
        <v>503-119</v>
      </c>
      <c r="W10" s="81" t="str">
        <f>VLOOKUP(Договоры7[[#This Row],[УНП]],Покупатели[#All],11)</f>
        <v>Московская область, г.Щелково, ул.Первомайская, д.50, кв.10</v>
      </c>
      <c r="X10" s="87">
        <f>Договоры7[[#This Row],[Стоимость по договору]]/Договоры7[[#This Row],[Площадь]]</f>
        <v>1700</v>
      </c>
      <c r="Y10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0" s="92">
        <f>EOMONTH(Договоры7[[#This Row],[Дата договора]],1)+1</f>
        <v>43800</v>
      </c>
      <c r="AA10" s="92">
        <f t="shared" si="0"/>
        <v>43770</v>
      </c>
      <c r="AB10" s="94" t="str">
        <f>суммапрописью(Договоры7[[#This Row],[Стоимость по договору]])</f>
        <v xml:space="preserve">один миллион пятьдесят девять тысяч сто </v>
      </c>
      <c r="AC10" s="93" t="str">
        <f t="shared" si="1"/>
        <v xml:space="preserve">один миллион пятьдесят девять тысяч сто </v>
      </c>
      <c r="AD10" s="93" t="e">
        <f t="shared" ref="AD10:AD16" si="4">суммапрописью(Y10)</f>
        <v>#VALUE!</v>
      </c>
      <c r="AE10" s="93" t="str">
        <f>IF(Договоры7[[#This Row],[Гражданство]]="РФ",CONCATENATE("код подразделения: ",Договоры7[[#This Row],[КП]],","),"")</f>
        <v>код подразделения: 503-119,</v>
      </c>
      <c r="AF10" s="95" t="e">
        <f t="shared" ref="AF10:AF16" si="5">INT((Y10-ROUNDDOWN(Y10,0))*100)</f>
        <v>#VALUE!</v>
      </c>
    </row>
    <row r="11" spans="1:32" x14ac:dyDescent="0.3">
      <c r="A11" s="74">
        <v>55</v>
      </c>
      <c r="B11" s="74">
        <v>6</v>
      </c>
      <c r="C11" s="75">
        <v>43741</v>
      </c>
      <c r="D11" s="86">
        <v>1059100</v>
      </c>
      <c r="E11" s="89" t="s">
        <v>61</v>
      </c>
      <c r="F11" s="86">
        <f>Договоры7[[#This Row],[Стоимость по договору]]</f>
        <v>1059100</v>
      </c>
      <c r="G11" s="86">
        <v>0</v>
      </c>
      <c r="H11" s="90">
        <v>0</v>
      </c>
      <c r="I11" s="101" t="str">
        <f>VLOOKUP(Договоры7[[#This Row],[УНП]],Покупатели[#All],12)</f>
        <v xml:space="preserve"> </v>
      </c>
      <c r="J11" s="102">
        <f>VLOOKUP(Договоры7[[#This Row],[УНП]],Покупатели[#All],13)</f>
        <v>0</v>
      </c>
      <c r="K11" s="73">
        <f>VLOOKUP(A11,Участки[],3)</f>
        <v>4256</v>
      </c>
      <c r="L11" s="85">
        <f>VLOOKUP(A11,Участки[],4)</f>
        <v>623</v>
      </c>
      <c r="M11" s="83" t="str">
        <f>_xlfn.CONCAT(Договоры7[[#This Row],[КН]],"/",TEXT(Договоры7[[#This Row],[УНП]],"000"))</f>
        <v>4256/006</v>
      </c>
      <c r="N11" s="97" t="str">
        <f>VLOOKUP(Договоры7[[#This Row],[УНП]],Покупатели[[УНП]:[ФИО Покупателя]],2)</f>
        <v>Попов Илья Александрович</v>
      </c>
      <c r="O11" s="76" t="str">
        <f>VLOOKUP(Договоры7[[#This Row],[УНП]],Покупатели[#All],3)</f>
        <v>РФ</v>
      </c>
      <c r="P11" s="77">
        <f>VLOOKUP(Договоры7[[#This Row],[УНП]],Покупатели[#All],4)</f>
        <v>30895</v>
      </c>
      <c r="Q11" s="78" t="str">
        <f>VLOOKUP(Договоры7[[#This Row],[УНП]],Покупатели[#All],5)</f>
        <v>гор.Щелково Московской области</v>
      </c>
      <c r="R11" s="79">
        <f>VLOOKUP(Договоры7[[#This Row],[УНП]],Покупатели[#All],6)</f>
        <v>4605</v>
      </c>
      <c r="S11" s="80">
        <f>VLOOKUP(Договоры7[[#This Row],[УНП]],Покупатели[#All],7)</f>
        <v>828463</v>
      </c>
      <c r="T11" s="77">
        <f>VLOOKUP(Договоры7[[#This Row],[УНП]],Покупатели[#All],8)</f>
        <v>38203</v>
      </c>
      <c r="U11" s="81" t="str">
        <f>VLOOKUP(Договоры7[[#This Row],[УНП]],Покупатели[#All],9)</f>
        <v>Отделом милиции гор.Щелково Щелковского УВД Московской области</v>
      </c>
      <c r="V11" s="79" t="str">
        <f>VLOOKUP(Договоры7[[#This Row],[УНП]],Покупатели[#All],10)</f>
        <v>503-119</v>
      </c>
      <c r="W11" s="81" t="str">
        <f>VLOOKUP(Договоры7[[#This Row],[УНП]],Покупатели[#All],11)</f>
        <v>Московская область, г.Щелково, ул.Первомайская, д.50, кв.10</v>
      </c>
      <c r="X11" s="87">
        <f>Договоры7[[#This Row],[Стоимость по договору]]/Договоры7[[#This Row],[Площадь]]</f>
        <v>1700</v>
      </c>
      <c r="Y11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1" s="92">
        <f>EOMONTH(Договоры7[[#This Row],[Дата договора]],1)+1</f>
        <v>43800</v>
      </c>
      <c r="AA11" s="92">
        <f t="shared" si="0"/>
        <v>43770</v>
      </c>
      <c r="AB11" s="94" t="str">
        <f>суммапрописью(Договоры7[[#This Row],[Стоимость по договору]])</f>
        <v xml:space="preserve">один миллион пятьдесят девять тысяч сто </v>
      </c>
      <c r="AC11" s="93" t="str">
        <f t="shared" si="1"/>
        <v xml:space="preserve">один миллион пятьдесят девять тысяч сто </v>
      </c>
      <c r="AD11" s="93" t="e">
        <f t="shared" si="4"/>
        <v>#VALUE!</v>
      </c>
      <c r="AE11" s="93" t="str">
        <f>IF(Договоры7[[#This Row],[Гражданство]]="РФ",CONCATENATE("код подразделения: ",Договоры7[[#This Row],[КП]],","),"")</f>
        <v>код подразделения: 503-119,</v>
      </c>
      <c r="AF11" s="95" t="e">
        <f t="shared" si="5"/>
        <v>#VALUE!</v>
      </c>
    </row>
    <row r="12" spans="1:32" s="47" customFormat="1" x14ac:dyDescent="0.3">
      <c r="A12" s="74">
        <v>45</v>
      </c>
      <c r="B12" s="74">
        <v>8</v>
      </c>
      <c r="C12" s="75">
        <v>43741</v>
      </c>
      <c r="D12" s="86">
        <v>1000000</v>
      </c>
      <c r="E12" s="89" t="s">
        <v>61</v>
      </c>
      <c r="F12" s="86">
        <f>Договоры7[[#This Row],[Стоимость по договору]]</f>
        <v>1000000</v>
      </c>
      <c r="G12" s="86">
        <v>0</v>
      </c>
      <c r="H12" s="90">
        <v>0</v>
      </c>
      <c r="I12" s="101" t="str">
        <f>VLOOKUP(Договоры7[[#This Row],[УНП]],Покупатели[#All],12)</f>
        <v xml:space="preserve"> </v>
      </c>
      <c r="J12" s="102">
        <f>VLOOKUP(Договоры7[[#This Row],[УНП]],Покупатели[#All],13)</f>
        <v>0</v>
      </c>
      <c r="K12" s="73">
        <f>VLOOKUP(A12,Участки[],3)</f>
        <v>4260</v>
      </c>
      <c r="L12" s="85">
        <f>VLOOKUP(A12,Участки[],4)</f>
        <v>623</v>
      </c>
      <c r="M12" s="83" t="str">
        <f>_xlfn.CONCAT(Договоры7[[#This Row],[КН]],"/",TEXT(Договоры7[[#This Row],[УНП]],"000"))</f>
        <v>4260/008</v>
      </c>
      <c r="N12" s="97" t="str">
        <f>VLOOKUP(Договоры7[[#This Row],[УНП]],Покупатели[[УНП]:[ФИО Покупателя]],2)</f>
        <v>Попова Галина Александровна</v>
      </c>
      <c r="O12" s="76" t="str">
        <f>VLOOKUP(Договоры7[[#This Row],[УНП]],Покупатели[#All],3)</f>
        <v>РФ</v>
      </c>
      <c r="P12" s="77">
        <f>VLOOKUP(Договоры7[[#This Row],[УНП]],Покупатели[#All],4)</f>
        <v>18352</v>
      </c>
      <c r="Q12" s="78" t="str">
        <f>VLOOKUP(Договоры7[[#This Row],[УНП]],Покупатели[#All],5)</f>
        <v>с.Ново-Николаевское, Радищевского района Ульяновской области</v>
      </c>
      <c r="R12" s="79">
        <f>VLOOKUP(Договоры7[[#This Row],[УНП]],Покупатели[#All],6)</f>
        <v>6300</v>
      </c>
      <c r="S12" s="80">
        <f>VLOOKUP(Договоры7[[#This Row],[УНП]],Покупатели[#All],7)</f>
        <v>507310</v>
      </c>
      <c r="T12" s="77">
        <f>VLOOKUP(Договоры7[[#This Row],[УНП]],Покупатели[#All],8)</f>
        <v>37034</v>
      </c>
      <c r="U12" s="81" t="str">
        <f>VLOOKUP(Договоры7[[#This Row],[УНП]],Покупатели[#All],9)</f>
        <v xml:space="preserve">Хвалынским ГОВД Саратовской области </v>
      </c>
      <c r="V12" s="79" t="str">
        <f>VLOOKUP(Договоры7[[#This Row],[УНП]],Покупатели[#All],10)</f>
        <v>642-045</v>
      </c>
      <c r="W12" s="81" t="str">
        <f>VLOOKUP(Договоры7[[#This Row],[УНП]],Покупатели[#All],11)</f>
        <v>Краснодарский край, Кореновский район, ст. Платнировская, ул. Привокзальная, д.15, кв.1</v>
      </c>
      <c r="X12" s="87">
        <f>Договоры7[[#This Row],[Стоимость по договору]]/Договоры7[[#This Row],[Площадь]]</f>
        <v>1605.1364365971108</v>
      </c>
      <c r="Y12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2" s="92">
        <f>EOMONTH(Договоры7[[#This Row],[Дата договора]],1)+1</f>
        <v>43800</v>
      </c>
      <c r="AA12" s="92">
        <f t="shared" si="0"/>
        <v>43770</v>
      </c>
      <c r="AB12" s="94" t="str">
        <f>суммапрописью(Договоры7[[#This Row],[Стоимость по договору]])</f>
        <v xml:space="preserve">один миллион </v>
      </c>
      <c r="AC12" s="93" t="str">
        <f t="shared" si="1"/>
        <v xml:space="preserve">один миллион </v>
      </c>
      <c r="AD12" s="93" t="e">
        <f t="shared" si="4"/>
        <v>#VALUE!</v>
      </c>
      <c r="AE12" s="94" t="str">
        <f>IF(Договоры7[[#This Row],[Гражданство]]="РФ",CONCATENATE("код подразделения: ",Договоры7[[#This Row],[КП]],","),"")</f>
        <v>код подразделения: 642-045,</v>
      </c>
      <c r="AF12" s="95" t="e">
        <f t="shared" si="5"/>
        <v>#VALUE!</v>
      </c>
    </row>
    <row r="13" spans="1:32" x14ac:dyDescent="0.3">
      <c r="A13" s="74">
        <v>84</v>
      </c>
      <c r="B13" s="74">
        <v>10</v>
      </c>
      <c r="C13" s="75">
        <v>43748</v>
      </c>
      <c r="D13" s="86">
        <v>649200</v>
      </c>
      <c r="E13" s="89" t="s">
        <v>61</v>
      </c>
      <c r="F13" s="86">
        <f>Договоры7[[#This Row],[Стоимость по договору]]</f>
        <v>649200</v>
      </c>
      <c r="G13" s="86">
        <v>0</v>
      </c>
      <c r="H13" s="90">
        <v>0</v>
      </c>
      <c r="I13" s="101" t="str">
        <f>VLOOKUP(Договоры7[[#This Row],[УНП]],Покупатели[#All],12)</f>
        <v xml:space="preserve"> </v>
      </c>
      <c r="J13" s="102">
        <f>VLOOKUP(Договоры7[[#This Row],[УНП]],Покупатели[#All],13)</f>
        <v>0</v>
      </c>
      <c r="K13" s="73">
        <f>VLOOKUP(A13,Участки[],3)</f>
        <v>4321</v>
      </c>
      <c r="L13" s="85">
        <f>VLOOKUP(A13,Участки[],4)</f>
        <v>589</v>
      </c>
      <c r="M13" s="83" t="str">
        <f>_xlfn.CONCAT(Договоры7[[#This Row],[КН]],"/",TEXT(Договоры7[[#This Row],[УНП]],"000"))</f>
        <v>4321/010</v>
      </c>
      <c r="N13" s="97" t="str">
        <f>VLOOKUP(Договоры7[[#This Row],[УНП]],Покупатели[[УНП]:[ФИО Покупателя]],2)</f>
        <v>Баяндин Илья Вячеславович</v>
      </c>
      <c r="O13" s="76" t="str">
        <f>VLOOKUP(Договоры7[[#This Row],[УНП]],Покупатели[#All],3)</f>
        <v>РФ</v>
      </c>
      <c r="P13" s="77">
        <f>VLOOKUP(Договоры7[[#This Row],[УНП]],Покупатели[#All],4)</f>
        <v>31547</v>
      </c>
      <c r="Q13" s="78" t="str">
        <f>VLOOKUP(Договоры7[[#This Row],[УНП]],Покупатели[#All],5)</f>
        <v>гор. Кемерово</v>
      </c>
      <c r="R13" s="79" t="str">
        <f>VLOOKUP(Договоры7[[#This Row],[УНП]],Покупатели[#All],6)</f>
        <v>0105</v>
      </c>
      <c r="S13" s="80">
        <f>VLOOKUP(Договоры7[[#This Row],[УНП]],Покупатели[#All],7)</f>
        <v>774870</v>
      </c>
      <c r="T13" s="77">
        <f>VLOOKUP(Договоры7[[#This Row],[УНП]],Покупатели[#All],8)</f>
        <v>38867</v>
      </c>
      <c r="U13" s="81" t="str">
        <f>VLOOKUP(Договоры7[[#This Row],[УНП]],Покупатели[#All],9)</f>
        <v>Отделом внутренних дел города Новоалтайска Алтайского края</v>
      </c>
      <c r="V13" s="79" t="str">
        <f>VLOOKUP(Договоры7[[#This Row],[УНП]],Покупатели[#All],10)</f>
        <v>222-033</v>
      </c>
      <c r="W13" s="81" t="str">
        <f>VLOOKUP(Договоры7[[#This Row],[УНП]],Покупатели[#All],11)</f>
        <v>Краснодарский край, г. Краснодар, с/о Калининский НСТ «Орбита», ул. Клубничная, д.120</v>
      </c>
      <c r="X13" s="87">
        <f>Договоры7[[#This Row],[Стоимость по договору]]/Договоры7[[#This Row],[Площадь]]</f>
        <v>1102.2071307300509</v>
      </c>
      <c r="Y13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3" s="92">
        <f>EOMONTH(Договоры7[[#This Row],[Дата договора]],1)+1</f>
        <v>43800</v>
      </c>
      <c r="AA13" s="92">
        <f t="shared" si="0"/>
        <v>43770</v>
      </c>
      <c r="AB13" s="94" t="str">
        <f>суммапрописью(Договоры7[[#This Row],[Стоимость по договору]])</f>
        <v xml:space="preserve">шестьсот сорок девять тысяч двести </v>
      </c>
      <c r="AC13" s="93" t="str">
        <f t="shared" si="1"/>
        <v xml:space="preserve">шестьсот сорок девять тысяч двести </v>
      </c>
      <c r="AD13" s="93" t="e">
        <f t="shared" si="4"/>
        <v>#VALUE!</v>
      </c>
      <c r="AE13" s="94" t="str">
        <f>IF(Договоры7[[#This Row],[Гражданство]]="РФ",CONCATENATE("код подразделения: ",Договоры7[[#This Row],[КП]],","),"")</f>
        <v>код подразделения: 222-033,</v>
      </c>
      <c r="AF13" s="95" t="e">
        <f t="shared" si="5"/>
        <v>#VALUE!</v>
      </c>
    </row>
    <row r="14" spans="1:32" x14ac:dyDescent="0.3">
      <c r="A14" s="74">
        <v>77</v>
      </c>
      <c r="B14" s="74">
        <v>9</v>
      </c>
      <c r="C14" s="75">
        <v>43748</v>
      </c>
      <c r="D14" s="86">
        <v>824600</v>
      </c>
      <c r="E14" s="89" t="s">
        <v>61</v>
      </c>
      <c r="F14" s="86">
        <f>Договоры7[[#This Row],[Стоимость по договору]]</f>
        <v>824600</v>
      </c>
      <c r="G14" s="86">
        <v>0</v>
      </c>
      <c r="H14" s="90">
        <v>0</v>
      </c>
      <c r="I14" s="101" t="str">
        <f>VLOOKUP(Договоры7[[#This Row],[УНП]],Покупатели[#All],12)</f>
        <v xml:space="preserve"> </v>
      </c>
      <c r="J14" s="102">
        <f>VLOOKUP(Договоры7[[#This Row],[УНП]],Покупатели[#All],13)</f>
        <v>0</v>
      </c>
      <c r="K14" s="73">
        <f>VLOOKUP(A14,Участки[],3)</f>
        <v>4314</v>
      </c>
      <c r="L14" s="85">
        <f>VLOOKUP(A14,Участки[],4)</f>
        <v>589</v>
      </c>
      <c r="M14" s="83" t="str">
        <f>_xlfn.CONCAT(Договоры7[[#This Row],[КН]],"/",TEXT(Договоры7[[#This Row],[УНП]],"000"))</f>
        <v>4314/009</v>
      </c>
      <c r="N14" s="97" t="str">
        <f>VLOOKUP(Договоры7[[#This Row],[УНП]],Покупатели[[УНП]:[ФИО Покупателя]],2)</f>
        <v>Пяткова Татьяна Семеновна</v>
      </c>
      <c r="O14" s="76" t="str">
        <f>VLOOKUP(Договоры7[[#This Row],[УНП]],Покупатели[#All],3)</f>
        <v>РФ</v>
      </c>
      <c r="P14" s="77">
        <f>VLOOKUP(Договоры7[[#This Row],[УНП]],Покупатели[#All],4)</f>
        <v>27449</v>
      </c>
      <c r="Q14" s="78" t="str">
        <f>VLOOKUP(Договоры7[[#This Row],[УНП]],Покупатели[#All],5)</f>
        <v>город Бердск Новосибирской области</v>
      </c>
      <c r="R14" s="79">
        <f>VLOOKUP(Договоры7[[#This Row],[УНП]],Покупатели[#All],6)</f>
        <v>5003</v>
      </c>
      <c r="S14" s="80">
        <f>VLOOKUP(Договоры7[[#This Row],[УНП]],Покупатели[#All],7)</f>
        <v>355792</v>
      </c>
      <c r="T14" s="77">
        <f>VLOOKUP(Договоры7[[#This Row],[УНП]],Покупатели[#All],8)</f>
        <v>37482</v>
      </c>
      <c r="U14" s="81" t="str">
        <f>VLOOKUP(Договоры7[[#This Row],[УНП]],Покупатели[#All],9)</f>
        <v>Управлением внутренних дел Искитимского района Новосибирской области</v>
      </c>
      <c r="V14" s="79" t="str">
        <f>VLOOKUP(Договоры7[[#This Row],[УНП]],Покупатели[#All],10)</f>
        <v>542-018</v>
      </c>
      <c r="W14" s="81" t="str">
        <f>VLOOKUP(Договоры7[[#This Row],[УНП]],Покупатели[#All],11)</f>
        <v>гор.Новосибирск, ул.Ватутина, д.47, кв.63</v>
      </c>
      <c r="X14" s="87">
        <f>Договоры7[[#This Row],[Стоимость по договору]]/Договоры7[[#This Row],[Площадь]]</f>
        <v>1400</v>
      </c>
      <c r="Y14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4" s="92">
        <f>EOMONTH(Договоры7[[#This Row],[Дата договора]],1)+1</f>
        <v>43800</v>
      </c>
      <c r="AA14" s="92">
        <f t="shared" si="0"/>
        <v>43770</v>
      </c>
      <c r="AB14" s="94" t="str">
        <f>суммапрописью(Договоры7[[#This Row],[Стоимость по договору]])</f>
        <v xml:space="preserve">восемьсот двадцать четыре тысячи шестьсот </v>
      </c>
      <c r="AC14" s="93" t="str">
        <f t="shared" si="1"/>
        <v xml:space="preserve">восемьсот двадцать четыре тысячи шестьсот </v>
      </c>
      <c r="AD14" s="93" t="e">
        <f t="shared" si="4"/>
        <v>#VALUE!</v>
      </c>
      <c r="AE14" s="94" t="str">
        <f>IF(Договоры7[[#This Row],[Гражданство]]="РФ",CONCATENATE("код подразделения: ",Договоры7[[#This Row],[КП]],","),"")</f>
        <v>код подразделения: 542-018,</v>
      </c>
      <c r="AF14" s="95" t="e">
        <f t="shared" si="5"/>
        <v>#VALUE!</v>
      </c>
    </row>
    <row r="15" spans="1:32" x14ac:dyDescent="0.3">
      <c r="A15" s="74">
        <v>78</v>
      </c>
      <c r="B15" s="74">
        <v>9</v>
      </c>
      <c r="C15" s="75">
        <v>43748</v>
      </c>
      <c r="D15" s="86">
        <v>824600</v>
      </c>
      <c r="E15" s="89" t="s">
        <v>61</v>
      </c>
      <c r="F15" s="86">
        <f>Договоры7[[#This Row],[Стоимость по договору]]</f>
        <v>824600</v>
      </c>
      <c r="G15" s="86">
        <v>0</v>
      </c>
      <c r="H15" s="90">
        <v>0</v>
      </c>
      <c r="I15" s="101" t="str">
        <f>VLOOKUP(Договоры7[[#This Row],[УНП]],Покупатели[#All],12)</f>
        <v xml:space="preserve"> </v>
      </c>
      <c r="J15" s="102">
        <f>VLOOKUP(Договоры7[[#This Row],[УНП]],Покупатели[#All],13)</f>
        <v>0</v>
      </c>
      <c r="K15" s="73">
        <f>VLOOKUP(A15,Участки[],3)</f>
        <v>4315</v>
      </c>
      <c r="L15" s="85">
        <f>VLOOKUP(A15,Участки[],4)</f>
        <v>589</v>
      </c>
      <c r="M15" s="83" t="str">
        <f>_xlfn.CONCAT(Договоры7[[#This Row],[КН]],"/",TEXT(Договоры7[[#This Row],[УНП]],"000"))</f>
        <v>4315/009</v>
      </c>
      <c r="N15" s="97" t="str">
        <f>VLOOKUP(Договоры7[[#This Row],[УНП]],Покупатели[[УНП]:[ФИО Покупателя]],2)</f>
        <v>Пяткова Татьяна Семеновна</v>
      </c>
      <c r="O15" s="76" t="str">
        <f>VLOOKUP(Договоры7[[#This Row],[УНП]],Покупатели[#All],3)</f>
        <v>РФ</v>
      </c>
      <c r="P15" s="77">
        <f>VLOOKUP(Договоры7[[#This Row],[УНП]],Покупатели[#All],4)</f>
        <v>27449</v>
      </c>
      <c r="Q15" s="78" t="str">
        <f>VLOOKUP(Договоры7[[#This Row],[УНП]],Покупатели[#All],5)</f>
        <v>город Бердск Новосибирской области</v>
      </c>
      <c r="R15" s="79">
        <f>VLOOKUP(Договоры7[[#This Row],[УНП]],Покупатели[#All],6)</f>
        <v>5003</v>
      </c>
      <c r="S15" s="80">
        <f>VLOOKUP(Договоры7[[#This Row],[УНП]],Покупатели[#All],7)</f>
        <v>355792</v>
      </c>
      <c r="T15" s="77">
        <f>VLOOKUP(Договоры7[[#This Row],[УНП]],Покупатели[#All],8)</f>
        <v>37482</v>
      </c>
      <c r="U15" s="81" t="str">
        <f>VLOOKUP(Договоры7[[#This Row],[УНП]],Покупатели[#All],9)</f>
        <v>Управлением внутренних дел Искитимского района Новосибирской области</v>
      </c>
      <c r="V15" s="79" t="str">
        <f>VLOOKUP(Договоры7[[#This Row],[УНП]],Покупатели[#All],10)</f>
        <v>542-018</v>
      </c>
      <c r="W15" s="81" t="str">
        <f>VLOOKUP(Договоры7[[#This Row],[УНП]],Покупатели[#All],11)</f>
        <v>гор.Новосибирск, ул.Ватутина, д.47, кв.63</v>
      </c>
      <c r="X15" s="87">
        <f>Договоры7[[#This Row],[Стоимость по договору]]/Договоры7[[#This Row],[Площадь]]</f>
        <v>1400</v>
      </c>
      <c r="Y15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5" s="92">
        <f>EOMONTH(Договоры7[[#This Row],[Дата договора]],1)+1</f>
        <v>43800</v>
      </c>
      <c r="AA15" s="92">
        <f t="shared" si="0"/>
        <v>43770</v>
      </c>
      <c r="AB15" s="94" t="str">
        <f>суммапрописью(Договоры7[[#This Row],[Стоимость по договору]])</f>
        <v xml:space="preserve">восемьсот двадцать четыре тысячи шестьсот </v>
      </c>
      <c r="AC15" s="93" t="str">
        <f t="shared" si="1"/>
        <v xml:space="preserve">восемьсот двадцать четыре тысячи шестьсот </v>
      </c>
      <c r="AD15" s="93" t="e">
        <f t="shared" si="4"/>
        <v>#VALUE!</v>
      </c>
      <c r="AE15" s="94" t="str">
        <f>IF(Договоры7[[#This Row],[Гражданство]]="РФ",CONCATENATE("код подразделения: ",Договоры7[[#This Row],[КП]],","),"")</f>
        <v>код подразделения: 542-018,</v>
      </c>
      <c r="AF15" s="95" t="e">
        <f t="shared" si="5"/>
        <v>#VALUE!</v>
      </c>
    </row>
    <row r="16" spans="1:32" x14ac:dyDescent="0.3">
      <c r="A16" s="74">
        <v>83</v>
      </c>
      <c r="B16" s="74">
        <v>9</v>
      </c>
      <c r="C16" s="75">
        <v>43748</v>
      </c>
      <c r="D16" s="86">
        <v>724600</v>
      </c>
      <c r="E16" s="89" t="s">
        <v>61</v>
      </c>
      <c r="F16" s="86">
        <f>Договоры7[[#This Row],[Стоимость по договору]]</f>
        <v>724600</v>
      </c>
      <c r="G16" s="86"/>
      <c r="H16" s="90">
        <v>0</v>
      </c>
      <c r="I16" s="101" t="str">
        <f>VLOOKUP(Договоры7[[#This Row],[УНП]],Покупатели[#All],12)</f>
        <v xml:space="preserve"> </v>
      </c>
      <c r="J16" s="102">
        <f>VLOOKUP(Договоры7[[#This Row],[УНП]],Покупатели[#All],13)</f>
        <v>0</v>
      </c>
      <c r="K16" s="73">
        <f>VLOOKUP(A16,Участки[],3)</f>
        <v>4320</v>
      </c>
      <c r="L16" s="85">
        <f>VLOOKUP(A16,Участки[],4)</f>
        <v>589</v>
      </c>
      <c r="M16" s="83" t="str">
        <f>_xlfn.CONCAT(Договоры7[[#This Row],[КН]],"/",TEXT(Договоры7[[#This Row],[УНП]],"000"))</f>
        <v>4320/009</v>
      </c>
      <c r="N16" s="97" t="str">
        <f>VLOOKUP(Договоры7[[#This Row],[УНП]],Покупатели[[УНП]:[ФИО Покупателя]],2)</f>
        <v>Пяткова Татьяна Семеновна</v>
      </c>
      <c r="O16" s="76" t="str">
        <f>VLOOKUP(Договоры7[[#This Row],[УНП]],Покупатели[#All],3)</f>
        <v>РФ</v>
      </c>
      <c r="P16" s="77">
        <f>VLOOKUP(Договоры7[[#This Row],[УНП]],Покупатели[#All],4)</f>
        <v>27449</v>
      </c>
      <c r="Q16" s="78" t="str">
        <f>VLOOKUP(Договоры7[[#This Row],[УНП]],Покупатели[#All],5)</f>
        <v>город Бердск Новосибирской области</v>
      </c>
      <c r="R16" s="79">
        <f>VLOOKUP(Договоры7[[#This Row],[УНП]],Покупатели[#All],6)</f>
        <v>5003</v>
      </c>
      <c r="S16" s="80">
        <f>VLOOKUP(Договоры7[[#This Row],[УНП]],Покупатели[#All],7)</f>
        <v>355792</v>
      </c>
      <c r="T16" s="77">
        <f>VLOOKUP(Договоры7[[#This Row],[УНП]],Покупатели[#All],8)</f>
        <v>37482</v>
      </c>
      <c r="U16" s="81" t="str">
        <f>VLOOKUP(Договоры7[[#This Row],[УНП]],Покупатели[#All],9)</f>
        <v>Управлением внутренних дел Искитимского района Новосибирской области</v>
      </c>
      <c r="V16" s="79" t="str">
        <f>VLOOKUP(Договоры7[[#This Row],[УНП]],Покупатели[#All],10)</f>
        <v>542-018</v>
      </c>
      <c r="W16" s="81" t="str">
        <f>VLOOKUP(Договоры7[[#This Row],[УНП]],Покупатели[#All],11)</f>
        <v>гор.Новосибирск, ул.Ватутина, д.47, кв.63</v>
      </c>
      <c r="X16" s="87">
        <f>Договоры7[[#This Row],[Стоимость по договору]]/Договоры7[[#This Row],[Площадь]]</f>
        <v>1230.2207130730051</v>
      </c>
      <c r="Y16" s="91" t="str">
        <f>IF(Договоры7[[#This Row],[Рассрочка]]="НЕТ","НЕТ",ROUND(-PMT(Договоры7[[#This Row],[Ставка]]/12,Договоры7[[#This Row],[Срок рассрочки (мес)]],Договоры7[[#This Row],[Стоимость по договору]]-Договоры7[[#This Row],[Сумма аванса]]),2))</f>
        <v>НЕТ</v>
      </c>
      <c r="Z16" s="92">
        <f>EOMONTH(Договоры7[[#This Row],[Дата договора]],1)+1</f>
        <v>43800</v>
      </c>
      <c r="AA16" s="92">
        <f t="shared" si="0"/>
        <v>43770</v>
      </c>
      <c r="AB16" s="94" t="str">
        <f>суммапрописью(Договоры7[[#This Row],[Стоимость по договору]])</f>
        <v xml:space="preserve">семьсот двадцать четыре тысячи шестьсот </v>
      </c>
      <c r="AC16" s="93" t="str">
        <f t="shared" si="1"/>
        <v xml:space="preserve">семьсот двадцать четыре тысячи шестьсот </v>
      </c>
      <c r="AD16" s="93" t="e">
        <f t="shared" si="4"/>
        <v>#VALUE!</v>
      </c>
      <c r="AE16" s="94" t="str">
        <f>IF(Договоры7[[#This Row],[Гражданство]]="РФ",CONCATENATE("код подразделения: ",Договоры7[[#This Row],[КП]],","),"")</f>
        <v>код подразделения: 542-018,</v>
      </c>
      <c r="AF16" s="95" t="e">
        <f t="shared" si="5"/>
        <v>#VALUE!</v>
      </c>
    </row>
    <row r="17" spans="1:24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98"/>
      <c r="O17" s="51"/>
      <c r="P17" s="64"/>
      <c r="Q17" s="64"/>
      <c r="R17" s="51"/>
      <c r="S17" s="64"/>
      <c r="T17" s="51"/>
      <c r="U17" s="51"/>
      <c r="V17" s="51"/>
      <c r="W17" s="51"/>
      <c r="X17" s="49"/>
    </row>
    <row r="18" spans="1:24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98"/>
      <c r="O18" s="51"/>
      <c r="P18" s="64"/>
      <c r="Q18" s="64"/>
      <c r="R18" s="51"/>
      <c r="S18" s="64"/>
      <c r="T18" s="51"/>
      <c r="U18" s="51"/>
      <c r="V18" s="51"/>
      <c r="W18" s="51"/>
      <c r="X18" s="49"/>
    </row>
    <row r="19" spans="1:24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98"/>
      <c r="O19" s="51"/>
      <c r="P19" s="64"/>
      <c r="Q19" s="64"/>
      <c r="R19" s="51"/>
      <c r="S19" s="64"/>
      <c r="T19" s="51"/>
      <c r="U19" s="51"/>
      <c r="V19" s="51"/>
      <c r="W19" s="51"/>
      <c r="X19" s="49"/>
    </row>
    <row r="20" spans="1:24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98"/>
      <c r="O20" s="51"/>
      <c r="P20" s="64"/>
      <c r="Q20" s="64"/>
      <c r="R20" s="51"/>
      <c r="S20" s="64"/>
      <c r="T20" s="51"/>
      <c r="U20" s="51"/>
      <c r="V20" s="51"/>
      <c r="W20" s="51"/>
      <c r="X20" s="49"/>
    </row>
  </sheetData>
  <sheetProtection insertRows="0"/>
  <phoneticPr fontId="6" type="noConversion"/>
  <pageMargins left="0.7" right="0.7" top="0.75" bottom="0.75" header="0.3" footer="0.3"/>
  <pageSetup paperSize="9" orientation="portrait" r:id="rId1"/>
  <ignoredErrors>
    <ignoredError sqref="AF2:AF9 AA3:AA9 AF10:AF11 AA10:AA11 AA2 AA12:AA16 AC12:AC16 AE2:AE16 AC2:AD2 AC3:AD9 AC10:AD11" unlockedFormula="1"/>
    <ignoredError sqref="B2:B9 N2:R9 S3:W9 B10:B11 N10:R11 S10:W11 S2:W2" unlockedFormula="1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673BD-AEE4-4E96-AB75-FC12A858AA8D}">
  <sheetPr codeName="Лист2"/>
  <dimension ref="A1:C1"/>
  <sheetViews>
    <sheetView workbookViewId="0">
      <selection activeCell="C2" sqref="C2"/>
    </sheetView>
  </sheetViews>
  <sheetFormatPr defaultRowHeight="14.4" x14ac:dyDescent="0.3"/>
  <sheetData>
    <row r="1" spans="1:3" x14ac:dyDescent="0.3">
      <c r="A1" s="2" t="s">
        <v>6</v>
      </c>
      <c r="B1" s="2"/>
      <c r="C1" s="2">
        <v>140000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91188-4F2D-4BB7-A658-5DD763B742B6}">
  <sheetPr codeName="Лист10"/>
  <dimension ref="A4:L5"/>
  <sheetViews>
    <sheetView workbookViewId="0">
      <selection activeCell="C19" sqref="C19"/>
    </sheetView>
  </sheetViews>
  <sheetFormatPr defaultColWidth="8.88671875" defaultRowHeight="14.4" x14ac:dyDescent="0.3"/>
  <cols>
    <col min="1" max="1" width="8.88671875" style="1"/>
    <col min="2" max="2" width="27" style="1" bestFit="1" customWidth="1"/>
    <col min="3" max="3" width="8.88671875" style="1"/>
    <col min="4" max="4" width="10.109375" style="1" bestFit="1" customWidth="1"/>
    <col min="5" max="7" width="8.88671875" style="1"/>
    <col min="8" max="8" width="10.109375" style="1" bestFit="1" customWidth="1"/>
    <col min="9" max="16384" width="8.88671875" style="1"/>
  </cols>
  <sheetData>
    <row r="4" spans="1:12" x14ac:dyDescent="0.3">
      <c r="A4" s="56">
        <f>ROW(Покупатели[[#This Row],[ФИО Покупателя]])-1</f>
        <v>3</v>
      </c>
      <c r="B4" s="1" t="s">
        <v>56</v>
      </c>
      <c r="C4" s="1" t="s">
        <v>63</v>
      </c>
      <c r="D4" s="21">
        <v>31945</v>
      </c>
      <c r="E4" s="58" t="s">
        <v>83</v>
      </c>
      <c r="F4" s="62" t="s">
        <v>57</v>
      </c>
      <c r="G4" s="22">
        <v>303895</v>
      </c>
      <c r="H4" s="21">
        <v>41877</v>
      </c>
      <c r="I4" s="1" t="s">
        <v>58</v>
      </c>
      <c r="J4" s="1" t="s">
        <v>59</v>
      </c>
      <c r="K4" s="1" t="s">
        <v>65</v>
      </c>
      <c r="L4" s="57"/>
    </row>
    <row r="5" spans="1:12" x14ac:dyDescent="0.3">
      <c r="B5" s="1" t="s">
        <v>84</v>
      </c>
      <c r="C5" s="1" t="s">
        <v>63</v>
      </c>
      <c r="D5" s="68">
        <v>21753</v>
      </c>
      <c r="E5" s="1" t="s">
        <v>85</v>
      </c>
      <c r="F5" s="62" t="s">
        <v>86</v>
      </c>
      <c r="G5" s="1">
        <v>578563</v>
      </c>
      <c r="H5" s="68">
        <v>38378</v>
      </c>
      <c r="I5" s="1" t="s">
        <v>87</v>
      </c>
      <c r="J5" s="1" t="s">
        <v>88</v>
      </c>
      <c r="K5" s="1" t="s">
        <v>89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Участки</vt:lpstr>
      <vt:lpstr>Покупатели</vt:lpstr>
      <vt:lpstr>Доверенные</vt:lpstr>
      <vt:lpstr>База для Договора</vt:lpstr>
      <vt:lpstr>Цена</vt:lpstr>
      <vt:lpstr>Лист1</vt:lpstr>
      <vt:lpstr>Участки!Заголовки_для_печати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Dima</cp:lastModifiedBy>
  <cp:lastPrinted>2019-10-18T11:42:55Z</cp:lastPrinted>
  <dcterms:created xsi:type="dcterms:W3CDTF">2019-06-25T07:57:47Z</dcterms:created>
  <dcterms:modified xsi:type="dcterms:W3CDTF">2019-10-18T12:00:02Z</dcterms:modified>
</cp:coreProperties>
</file>